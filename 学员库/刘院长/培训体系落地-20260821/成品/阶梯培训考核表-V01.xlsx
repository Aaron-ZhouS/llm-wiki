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阶梯培训考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555555"/>
      <sz val="10"/>
    </font>
    <font>
      <name val="微软雅黑"/>
      <b val="1"/>
      <color rgb="002980B9"/>
      <sz val="10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b val="1"/>
      <color rgb="00C0392B"/>
      <sz val="14"/>
    </font>
    <font>
      <name val="微软雅黑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980B9"/>
      </patternFill>
    </fill>
    <fill>
      <patternFill patternType="solid">
        <fgColor rgb="00EAF2F8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36" customHeight="1">
      <c r="A1" s="1" t="inlineStr">
        <is>
          <t>📊 阶梯培训考核表（5 阶段月度评分）</t>
        </is>
      </c>
      <c r="M1" s="2" t="inlineStr">
        <is>
          <t>V01 · 2026-08-21</t>
        </is>
      </c>
    </row>
    <row r="2" ht="20" customHeight="1">
      <c r="A2" s="3" t="inlineStr">
        <is>
          <t>5 个月 5 阶段 · 学员达标 → 培训师获奖 · 月度归档</t>
        </is>
      </c>
    </row>
    <row r="4" ht="22" customHeight="1">
      <c r="A4" s="4" t="inlineStr">
        <is>
          <t>学员姓名：________</t>
        </is>
      </c>
      <c r="B4" s="5" t="n"/>
      <c r="C4" s="5" t="n"/>
      <c r="D4" s="5" t="n"/>
      <c r="E4" s="6" t="inlineStr">
        <is>
          <t>所属岗位：☐白班 ☐24h班</t>
        </is>
      </c>
      <c r="F4" s="5" t="n"/>
      <c r="G4" s="5" t="n"/>
      <c r="H4" s="5" t="n"/>
      <c r="I4" s="5" t="n"/>
      <c r="J4" s="5" t="n"/>
      <c r="K4" s="5" t="n"/>
    </row>
    <row r="5" ht="22" customHeight="1">
      <c r="A5" s="4" t="inlineStr">
        <is>
          <t>入职日期：____年____月____日</t>
        </is>
      </c>
      <c r="B5" s="5" t="n"/>
      <c r="C5" s="5" t="n"/>
      <c r="D5" s="5" t="n"/>
      <c r="E5" s="6" t="inlineStr">
        <is>
          <t>主培训师：________</t>
        </is>
      </c>
      <c r="F5" s="5" t="n"/>
      <c r="G5" s="5" t="n"/>
      <c r="H5" s="5" t="n"/>
      <c r="I5" s="5" t="n"/>
      <c r="J5" s="5" t="n"/>
      <c r="K5" s="5" t="n"/>
    </row>
    <row r="6" ht="22" customHeight="1">
      <c r="A6" s="4" t="inlineStr">
        <is>
          <t>备培训师：________</t>
        </is>
      </c>
      <c r="B6" s="5" t="n"/>
      <c r="C6" s="5" t="n"/>
      <c r="D6" s="5" t="n"/>
      <c r="E6" s="6" t="inlineStr">
        <is>
          <t>考核月份：____年____月</t>
        </is>
      </c>
      <c r="F6" s="5" t="n"/>
      <c r="G6" s="5" t="n"/>
      <c r="H6" s="5" t="n"/>
      <c r="I6" s="5" t="n"/>
      <c r="J6" s="5" t="n"/>
      <c r="K6" s="5" t="n"/>
    </row>
    <row r="8" ht="24" customHeight="1">
      <c r="A8" s="7" t="inlineStr">
        <is>
          <t>5 阶段月度考核（每阶段评分 + 奖金自动判定）</t>
        </is>
      </c>
    </row>
    <row r="9" ht="22" customHeight="1">
      <c r="A9" s="8" t="inlineStr">
        <is>
          <t>阶段</t>
        </is>
      </c>
      <c r="B9" s="8" t="inlineStr">
        <is>
          <t>月份</t>
        </is>
      </c>
      <c r="C9" s="8" t="inlineStr">
        <is>
          <t>考核项目</t>
        </is>
      </c>
      <c r="D9" s="8" t="inlineStr">
        <is>
          <t>标准</t>
        </is>
      </c>
      <c r="E9" s="8" t="inlineStr">
        <is>
          <t>得分</t>
        </is>
      </c>
      <c r="F9" s="8" t="inlineStr">
        <is>
          <t>通过线</t>
        </is>
      </c>
      <c r="G9" s="8" t="inlineStr">
        <is>
          <t>通过判定</t>
        </is>
      </c>
      <c r="H9" s="8" t="inlineStr">
        <is>
          <t>培训师</t>
        </is>
      </c>
      <c r="I9" s="8" t="inlineStr">
        <is>
          <t>奖金</t>
        </is>
      </c>
      <c r="J9" s="8" t="inlineStr">
        <is>
          <t>院长</t>
        </is>
      </c>
      <c r="K9" s="8" t="inlineStr">
        <is>
          <t>备注</t>
        </is>
      </c>
    </row>
    <row r="10" ht="26" customHeight="1">
      <c r="A10" s="9" t="inlineStr">
        <is>
          <t>第一阶段</t>
        </is>
      </c>
      <c r="B10" s="9" t="inlineStr">
        <is>
          <t>第 1 月</t>
        </is>
      </c>
      <c r="C10" s="10" t="inlineStr">
        <is>
          <t>观摩笔记</t>
        </is>
      </c>
      <c r="D10" s="10" t="inlineStr">
        <is>
          <t>≥ 20 条</t>
        </is>
      </c>
      <c r="E10" s="9" t="inlineStr"/>
      <c r="F10" s="9" t="n">
        <v>80</v>
      </c>
      <c r="G10" s="9">
        <f>IF(E10&gt;=80,"✓","✗")</f>
        <v/>
      </c>
      <c r="H10" s="9" t="inlineStr">
        <is>
          <t>白班/24h</t>
        </is>
      </c>
      <c r="I10" s="9" t="n">
        <v>100</v>
      </c>
      <c r="J10" s="9" t="inlineStr"/>
      <c r="K10" s="10" t="inlineStr"/>
    </row>
    <row r="11" ht="26" customHeight="1">
      <c r="A11" s="9" t="inlineStr">
        <is>
          <t>第二阶段</t>
        </is>
      </c>
      <c r="B11" s="9" t="inlineStr">
        <is>
          <t>第 2 月</t>
        </is>
      </c>
      <c r="C11" s="10" t="inlineStr">
        <is>
          <t>协助操作合格率</t>
        </is>
      </c>
      <c r="D11" s="10" t="inlineStr">
        <is>
          <t>≥ 95%</t>
        </is>
      </c>
      <c r="E11" s="9" t="inlineStr"/>
      <c r="F11" s="9" t="n">
        <v>95</v>
      </c>
      <c r="G11" s="9">
        <f>IF(E11&gt;=95,"✓","✗")</f>
        <v/>
      </c>
      <c r="H11" s="9" t="inlineStr">
        <is>
          <t>白班/24h</t>
        </is>
      </c>
      <c r="I11" s="9" t="n">
        <v>150</v>
      </c>
      <c r="J11" s="9" t="inlineStr"/>
      <c r="K11" s="10" t="inlineStr"/>
    </row>
    <row r="12" ht="26" customHeight="1">
      <c r="A12" s="9" t="inlineStr">
        <is>
          <t>第三阶段</t>
        </is>
      </c>
      <c r="B12" s="9" t="inlineStr">
        <is>
          <t>第 3 月</t>
        </is>
      </c>
      <c r="C12" s="10" t="inlineStr">
        <is>
          <t>半独立操作合格率</t>
        </is>
      </c>
      <c r="D12" s="10" t="inlineStr">
        <is>
          <t>≥ 95%</t>
        </is>
      </c>
      <c r="E12" s="9" t="inlineStr"/>
      <c r="F12" s="9" t="n">
        <v>95</v>
      </c>
      <c r="G12" s="9">
        <f>IF(E12&gt;=95,"✓","✗")</f>
        <v/>
      </c>
      <c r="H12" s="9" t="inlineStr">
        <is>
          <t>白班/24h</t>
        </is>
      </c>
      <c r="I12" s="9" t="n">
        <v>200</v>
      </c>
      <c r="J12" s="9" t="inlineStr"/>
      <c r="K12" s="10" t="inlineStr"/>
    </row>
    <row r="13" ht="26" customHeight="1">
      <c r="A13" s="9" t="inlineStr">
        <is>
          <t>第四阶段</t>
        </is>
      </c>
      <c r="B13" s="9" t="inlineStr">
        <is>
          <t>第 4 月</t>
        </is>
      </c>
      <c r="C13" s="10" t="inlineStr">
        <is>
          <t>独立操作合格率 + 老人评价</t>
        </is>
      </c>
      <c r="D13" s="10" t="inlineStr">
        <is>
          <t>≥ 95% + ≥ 4/5</t>
        </is>
      </c>
      <c r="E13" s="9" t="inlineStr"/>
      <c r="F13" s="9" t="n">
        <v>95</v>
      </c>
      <c r="G13" s="9">
        <f>IF(E13&gt;=95,"✓","✗")</f>
        <v/>
      </c>
      <c r="H13" s="9" t="inlineStr">
        <is>
          <t>白班/24h</t>
        </is>
      </c>
      <c r="I13" s="9" t="n">
        <v>300</v>
      </c>
      <c r="J13" s="9" t="inlineStr"/>
      <c r="K13" s="10" t="inlineStr"/>
    </row>
    <row r="14" ht="26" customHeight="1">
      <c r="A14" s="9" t="inlineStr">
        <is>
          <t>第五阶段</t>
        </is>
      </c>
      <c r="B14" s="9" t="inlineStr">
        <is>
          <t>第 5 月</t>
        </is>
      </c>
      <c r="C14" s="10" t="inlineStr">
        <is>
          <t>独立操作合格率 + 团队协作</t>
        </is>
      </c>
      <c r="D14" s="10" t="inlineStr">
        <is>
          <t>≥ 98% + 互助演练通过</t>
        </is>
      </c>
      <c r="E14" s="9" t="inlineStr"/>
      <c r="F14" s="9" t="n">
        <v>98</v>
      </c>
      <c r="G14" s="9">
        <f>IF(E14&gt;=98,"✓","✗")</f>
        <v/>
      </c>
      <c r="H14" s="9" t="inlineStr">
        <is>
          <t>白班/24h</t>
        </is>
      </c>
      <c r="I14" s="9" t="n">
        <v>500</v>
      </c>
      <c r="J14" s="9" t="inlineStr"/>
      <c r="K14" s="10" t="inlineStr"/>
    </row>
    <row r="15" ht="26" customHeight="1">
      <c r="A15" s="9" t="inlineStr">
        <is>
          <t>留存奖</t>
        </is>
      </c>
      <c r="B15" s="9" t="inlineStr">
        <is>
          <t>6 个月</t>
        </is>
      </c>
      <c r="C15" s="10" t="inlineStr">
        <is>
          <t>学员稳定在岗</t>
        </is>
      </c>
      <c r="D15" s="10" t="inlineStr">
        <is>
          <t>无离职</t>
        </is>
      </c>
      <c r="E15" s="9" t="inlineStr"/>
      <c r="F15" s="9" t="n">
        <v>100</v>
      </c>
      <c r="G15" s="9">
        <f>IF(E15&gt;=100,"✓","✗")</f>
        <v/>
      </c>
      <c r="H15" s="9" t="inlineStr">
        <is>
          <t>白班/24h</t>
        </is>
      </c>
      <c r="I15" s="9" t="n">
        <v>500</v>
      </c>
      <c r="J15" s="9" t="inlineStr"/>
      <c r="K15" s="10" t="inlineStr"/>
    </row>
    <row r="16" ht="30" customHeight="1">
      <c r="A16" s="11" t="inlineStr">
        <is>
          <t>累计奖金（自动计算）</t>
        </is>
      </c>
      <c r="B16" s="12" t="n"/>
      <c r="C16" s="12" t="n"/>
      <c r="D16" s="12" t="n"/>
      <c r="E16" s="12" t="n"/>
      <c r="F16" s="12" t="n"/>
      <c r="G16" s="12" t="n"/>
      <c r="H16" s="12" t="n"/>
      <c r="I16" s="13">
        <f>SUMIF(G10:G15,"✓",I10:I15)</f>
        <v/>
      </c>
      <c r="J16" s="14" t="inlineStr">
        <is>
          <t>元）</t>
        </is>
      </c>
      <c r="K16" s="12" t="n"/>
    </row>
    <row r="18" ht="24" customHeight="1">
      <c r="A18" s="7" t="inlineStr">
        <is>
          <t>培训师月度绩效系数（自动判定）</t>
        </is>
      </c>
    </row>
    <row r="19" ht="22" customHeight="1">
      <c r="A19" s="8" t="inlineStr">
        <is>
          <t>本月带教学员数</t>
        </is>
      </c>
      <c r="B19" s="8" t="inlineStr">
        <is>
          <t>0 / 1 / 2 / 3 / 4+</t>
        </is>
      </c>
      <c r="C19" s="8" t="inlineStr">
        <is>
          <t>月度绩效系数</t>
        </is>
      </c>
      <c r="D19" s="8" t="inlineStr">
        <is>
          <t>1.0 / 1.1 / 1.2 / 1.3 / 1.5</t>
        </is>
      </c>
      <c r="E19" s="8" t="inlineStr">
        <is>
          <t>系数说明</t>
        </is>
      </c>
      <c r="F19" s="15" t="n"/>
      <c r="G19" s="15" t="n"/>
      <c r="H19" s="15" t="n"/>
      <c r="I19" s="15" t="n"/>
      <c r="J19" s="15" t="n"/>
      <c r="K19" s="15" t="n"/>
    </row>
    <row r="20" ht="28" customHeight="1">
      <c r="A20" s="16" t="inlineStr">
        <is>
          <t>实际带教人数</t>
        </is>
      </c>
      <c r="B20" s="17" t="inlineStr"/>
      <c r="C20" s="18" t="inlineStr">
        <is>
          <t>系数（自动）</t>
        </is>
      </c>
      <c r="D20" s="13">
        <f>IF(B20="","—",IF(B20&gt;=4,1.5,IF(B20=3,1.3,IF(B20=2,1.2,IF(B20=1,1.1,1)))))</f>
        <v/>
      </c>
      <c r="E20" s="14" t="inlineStr">
        <is>
          <t>0人=1.0；1人=1.1；2人=1.2；3人=1.3；4+人=1.5</t>
        </is>
      </c>
      <c r="F20" s="19" t="n"/>
      <c r="G20" s="19" t="n"/>
      <c r="H20" s="19" t="n"/>
      <c r="I20" s="19" t="n"/>
      <c r="J20" s="19" t="n"/>
      <c r="K20" s="19" t="n"/>
    </row>
    <row r="22" ht="24" customHeight="1">
      <c r="A22" s="7" t="inlineStr">
        <is>
          <t>本月培训师经验沉淀（必填 ≥ 3 条）</t>
        </is>
      </c>
    </row>
    <row r="23" ht="24" customHeight="1">
      <c r="A23" s="20" t="n">
        <v>1</v>
      </c>
      <c r="B23" s="10" t="inlineStr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24" customHeight="1">
      <c r="A24" s="20" t="n">
        <v>2</v>
      </c>
      <c r="B24" s="10" t="inlineStr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24" customHeight="1">
      <c r="A25" s="20" t="n">
        <v>3</v>
      </c>
      <c r="B25" s="10" t="inlineStr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</row>
    <row r="27" ht="26" customHeight="1">
      <c r="A27" s="22" t="inlineStr">
        <is>
          <t>主培训师签字：__________</t>
        </is>
      </c>
      <c r="B27" s="12" t="n"/>
      <c r="C27" s="12" t="n"/>
      <c r="D27" s="12" t="n"/>
      <c r="E27" s="22" t="inlineStr">
        <is>
          <t>考核主管签字：__________</t>
        </is>
      </c>
      <c r="F27" s="12" t="n"/>
      <c r="G27" s="12" t="n"/>
      <c r="H27" s="12" t="n"/>
      <c r="I27" s="22" t="inlineStr">
        <is>
          <t>院长签字：__________</t>
        </is>
      </c>
      <c r="J27" s="12" t="n"/>
      <c r="K27" s="12" t="n"/>
    </row>
  </sheetData>
  <mergeCells count="19">
    <mergeCell ref="A5:D5"/>
    <mergeCell ref="A4:D4"/>
    <mergeCell ref="B24:K24"/>
    <mergeCell ref="A1:K1"/>
    <mergeCell ref="A16:H16"/>
    <mergeCell ref="B25:K25"/>
    <mergeCell ref="E5:K5"/>
    <mergeCell ref="A18:K18"/>
    <mergeCell ref="A6:D6"/>
    <mergeCell ref="J16:K16"/>
    <mergeCell ref="A2:K2"/>
    <mergeCell ref="E4:K4"/>
    <mergeCell ref="A8:K8"/>
    <mergeCell ref="A22:K22"/>
    <mergeCell ref="B23:K23"/>
    <mergeCell ref="A27:D27"/>
    <mergeCell ref="I27:K27"/>
    <mergeCell ref="E6:K6"/>
    <mergeCell ref="E27:H27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2026-08-22T14:14:25Z</dcterms:created>
  <dcterms:modified xmlns:dcterms="http://purl.org/dc/terms/" xmlns:xsi="http://www.w3.org/2001/XMLSchema-instance" xsi:type="dcterms:W3CDTF">2026-08-22T14:14:25Z</dcterms:modified>
</cp:coreProperties>
</file>