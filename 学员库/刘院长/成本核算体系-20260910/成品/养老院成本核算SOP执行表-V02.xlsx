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🛏 单床成本核算" sheetId="2" state="visible" r:id="rId2"/>
    <sheet xmlns:r="http://schemas.openxmlformats.org/officeDocument/2006/relationships" name="💰 月度收支核算" sheetId="3" state="visible" r:id="rId3"/>
    <sheet xmlns:r="http://schemas.openxmlformats.org/officeDocument/2006/relationships" name="⚖️ 分级别定价" sheetId="4" state="visible" r:id="rId4"/>
    <sheet xmlns:r="http://schemas.openxmlformats.org/officeDocument/2006/relationships" name="📊 利润床位比例" sheetId="5" state="visible" r:id="rId5"/>
    <sheet xmlns:r="http://schemas.openxmlformats.org/officeDocument/2006/relationships" name="👥 护理工时核算" sheetId="6" state="visible" r:id="rId6"/>
    <sheet xmlns:r="http://schemas.openxmlformats.org/officeDocument/2006/relationships" name="📉 工资占比优化" sheetId="7" state="visible" r:id="rId7"/>
    <sheet xmlns:r="http://schemas.openxmlformats.org/officeDocument/2006/relationships" name="🍳 食堂成本拆分" sheetId="8" state="visible" r:id="rId8"/>
    <sheet xmlns:r="http://schemas.openxmlformats.org/officeDocument/2006/relationships" name="🎯 结构优化方案" sheetId="9" state="visible" r:id="rId9"/>
    <sheet xmlns:r="http://schemas.openxmlformats.org/officeDocument/2006/relationships" name="📋 数据录入模板" sheetId="10" state="visible" r:id="rId10"/>
    <sheet xmlns:r="http://schemas.openxmlformats.org/officeDocument/2006/relationships" name="📖 公式原理" sheetId="11" state="visible" r:id="rId11"/>
    <sheet xmlns:r="http://schemas.openxmlformats.org/officeDocument/2006/relationships" name="⚠️ V02 数据核查清单" sheetId="12" state="visible" r:id="rId12"/>
    <sheet xmlns:r="http://schemas.openxmlformats.org/officeDocument/2006/relationships" name="📅 月度核算日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1F4E78"/>
      <sz val="10"/>
    </font>
    <font>
      <name val="微软雅黑"/>
      <b val="1"/>
      <color rgb="009C0006"/>
      <sz val="14"/>
    </font>
    <font>
      <name val="微软雅黑"/>
      <b val="1"/>
      <color rgb="00C00000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color rgb="000070C0"/>
      <sz val="10"/>
    </font>
    <font>
      <name val="微软雅黑"/>
      <i val="1"/>
      <color rgb="00C00000"/>
      <sz val="10"/>
    </font>
    <font>
      <name val="微软雅黑"/>
      <b val="1"/>
      <color rgb="00548235"/>
      <sz val="12"/>
    </font>
    <font>
      <name val="微软雅黑"/>
      <b val="1"/>
      <color rgb="00006100"/>
      <sz val="14"/>
    </font>
    <font>
      <name val="微软雅黑"/>
      <b val="1"/>
      <color rgb="00006100"/>
      <sz val="12"/>
    </font>
    <font>
      <name val="微软雅黑"/>
      <b val="1"/>
      <color rgb="009C0006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2" customWidth="1" min="4" max="4"/>
  </cols>
  <sheetData>
    <row r="1" ht="36" customHeight="1">
      <c r="A1" s="1" t="inlineStr">
        <is>
          <t>养老院成本核算总览（V02 · 160 张床修订版）</t>
        </is>
      </c>
    </row>
    <row r="2" ht="22" customHeight="1">
      <c r="A2" s="2" t="inlineStr">
        <is>
          <t>🏢 院基本信息</t>
        </is>
      </c>
    </row>
    <row r="3">
      <c r="A3" s="3" t="inlineStr">
        <is>
          <t>院名</t>
        </is>
      </c>
      <c r="B3" s="4" t="inlineStr">
        <is>
          <t>__________ 养老院</t>
        </is>
      </c>
      <c r="C3" s="3" t="inlineStr"/>
    </row>
    <row r="4">
      <c r="A4" s="3" t="inlineStr">
        <is>
          <t>床位数</t>
        </is>
      </c>
      <c r="B4" s="4" t="inlineStr">
        <is>
          <t>160 张</t>
        </is>
      </c>
      <c r="C4" s="3" t="inlineStr"/>
    </row>
    <row r="5">
      <c r="A5" s="3" t="inlineStr">
        <is>
          <t>老人总数</t>
        </is>
      </c>
      <c r="B5" s="4" t="inlineStr">
        <is>
          <t>160 人（自理 100 + 半护 20 + 全护 20 + 特护 20）</t>
        </is>
      </c>
      <c r="C5" s="3" t="inlineStr"/>
    </row>
    <row r="6">
      <c r="A6" s="3" t="inlineStr">
        <is>
          <t>版本</t>
        </is>
      </c>
      <c r="B6" s="4" t="inlineStr">
        <is>
          <t>V02 · 2026-09-10（160 张床修订版）</t>
        </is>
      </c>
      <c r="C6" s="3" t="inlineStr"/>
    </row>
    <row r="8" ht="22" customHeight="1">
      <c r="A8" s="5" t="inlineStr">
        <is>
          <t>⚠️ V02 关键发现（3 个新洞察）</t>
        </is>
      </c>
    </row>
    <row r="9">
      <c r="A9" s="6" t="inlineStr">
        <is>
          <t>✅ 月利润 102 万</t>
        </is>
      </c>
      <c r="B9" s="7" t="inlineStr">
        <is>
          <t>总收入 110.9 万 - 总支出 8.9 万 = 102 万利润（利润率 92%）</t>
        </is>
      </c>
      <c r="C9" s="8" t="inlineStr">
        <is>
          <t>可能漏算大额成本</t>
        </is>
      </c>
    </row>
    <row r="10">
      <c r="A10" s="6" t="inlineStr">
        <is>
          <t>⚠️ 床位结构失衡</t>
        </is>
      </c>
      <c r="B10" s="9" t="inlineStr">
        <is>
          <t>自理 100/160 = 62.5%（健康线 ≤ 30%）</t>
        </is>
      </c>
      <c r="C10" s="8" t="inlineStr">
        <is>
          <t>需扩护理区</t>
        </is>
      </c>
    </row>
    <row r="11">
      <c r="A11" s="6" t="inlineStr">
        <is>
          <t>⚠️ 工资占比 6.3%</t>
        </is>
      </c>
      <c r="B11" s="10" t="inlineStr">
        <is>
          <t>健康线 50-55%，工资可能严重漏算</t>
        </is>
      </c>
      <c r="C11" s="8" t="inlineStr">
        <is>
          <t>需核查全员工资</t>
        </is>
      </c>
    </row>
    <row r="13" ht="22" customHeight="1">
      <c r="A13" s="2" t="inlineStr">
        <is>
          <t>📋 核心数据速览</t>
        </is>
      </c>
    </row>
    <row r="14">
      <c r="A14" s="11" t="inlineStr">
        <is>
          <t>指标</t>
        </is>
      </c>
      <c r="B14" s="11" t="inlineStr">
        <is>
          <t>数据</t>
        </is>
      </c>
      <c r="C14" s="11" t="inlineStr">
        <is>
          <t>公式</t>
        </is>
      </c>
      <c r="D14" s="11" t="inlineStr">
        <is>
          <t>评估</t>
        </is>
      </c>
    </row>
    <row r="15">
      <c r="A15" s="6" t="inlineStr">
        <is>
          <t>总床位数</t>
        </is>
      </c>
      <c r="B15" s="12" t="inlineStr">
        <is>
          <t>160 张</t>
        </is>
      </c>
      <c r="C15" s="13" t="inlineStr">
        <is>
          <t>—</t>
        </is>
      </c>
      <c r="D15" s="14" t="inlineStr">
        <is>
          <t>基础数据</t>
        </is>
      </c>
    </row>
    <row r="16">
      <c r="A16" s="6" t="inlineStr">
        <is>
          <t>总人数</t>
        </is>
      </c>
      <c r="B16" s="12" t="inlineStr">
        <is>
          <t>160 人</t>
        </is>
      </c>
      <c r="C16" s="13" t="inlineStr">
        <is>
          <t>—</t>
        </is>
      </c>
      <c r="D16" s="14" t="inlineStr">
        <is>
          <t>100% 入住</t>
        </is>
      </c>
    </row>
    <row r="17">
      <c r="A17" s="6" t="inlineStr">
        <is>
          <t>月总收入</t>
        </is>
      </c>
      <c r="B17" s="12" t="inlineStr">
        <is>
          <t>1,109,200 元</t>
        </is>
      </c>
      <c r="C17" s="13" t="inlineStr">
        <is>
          <t>床位 32 万+餐 14.4 万+护理 62.5 万+补贴 2 万</t>
        </is>
      </c>
      <c r="D17" s="14" t="inlineStr">
        <is>
          <t>✅ 高</t>
        </is>
      </c>
    </row>
    <row r="18">
      <c r="A18" s="6" t="inlineStr">
        <is>
          <t>月总支出</t>
        </is>
      </c>
      <c r="B18" s="12" t="inlineStr">
        <is>
          <t>88,833 元</t>
        </is>
      </c>
      <c r="C18" s="13" t="inlineStr">
        <is>
          <t>房租 5 千+水电 5 千+工资 7 万+食材 8 千+床品 833</t>
        </is>
      </c>
      <c r="D18" s="9" t="inlineStr">
        <is>
          <t>⚠️ 可能漏算</t>
        </is>
      </c>
    </row>
    <row r="19">
      <c r="A19" s="6" t="inlineStr">
        <is>
          <t>月利润</t>
        </is>
      </c>
      <c r="B19" s="12" t="inlineStr">
        <is>
          <t>1,020,367 元</t>
        </is>
      </c>
      <c r="C19" s="13">
        <f> 收入 - 支出</f>
        <v/>
      </c>
      <c r="D19" s="14" t="inlineStr">
        <is>
          <t>✅ 高（需复核）</t>
        </is>
      </c>
    </row>
    <row r="20">
      <c r="A20" s="6" t="inlineStr">
        <is>
          <t>利润率</t>
        </is>
      </c>
      <c r="B20" s="12" t="inlineStr">
        <is>
          <t>92.0%</t>
        </is>
      </c>
      <c r="C20" s="13">
        <f> 利润 ÷ 收入</f>
        <v/>
      </c>
      <c r="D20" s="9" t="inlineStr">
        <is>
          <t>⚠️ 异常高</t>
        </is>
      </c>
    </row>
    <row r="21">
      <c r="A21" s="6" t="inlineStr">
        <is>
          <t>单床成本</t>
        </is>
      </c>
      <c r="B21" s="12" t="inlineStr">
        <is>
          <t>555 元/月/床</t>
        </is>
      </c>
      <c r="C21" s="13">
        <f> 月总支出 ÷ 总床数</f>
        <v/>
      </c>
      <c r="D21" s="14" t="inlineStr">
        <is>
          <t>✅ 极低</t>
        </is>
      </c>
    </row>
    <row r="22">
      <c r="A22" s="6" t="inlineStr">
        <is>
          <t>自理综合收入</t>
        </is>
      </c>
      <c r="B22" s="12" t="inlineStr">
        <is>
          <t>6,400 元/月</t>
        </is>
      </c>
      <c r="C22" s="13">
        <f> 床位 2000+餐 900+护理 3500</f>
        <v/>
      </c>
      <c r="D22" s="14" t="inlineStr">
        <is>
          <t>✅ 远超成本</t>
        </is>
      </c>
    </row>
    <row r="23">
      <c r="A23" s="6" t="inlineStr">
        <is>
          <t>特护综合收入</t>
        </is>
      </c>
      <c r="B23" s="12" t="inlineStr">
        <is>
          <t>7,900 元/月</t>
        </is>
      </c>
      <c r="C23" s="13">
        <f> 床位 2000+餐 900+护理 5000</f>
        <v/>
      </c>
      <c r="D23" s="14" t="inlineStr">
        <is>
          <t>✅ 最高利润</t>
        </is>
      </c>
    </row>
    <row r="24">
      <c r="A24" s="6" t="inlineStr">
        <is>
          <t>工资占比</t>
        </is>
      </c>
      <c r="B24" s="12" t="inlineStr">
        <is>
          <t>6.3%</t>
        </is>
      </c>
      <c r="C24" s="13">
        <f> 月工资 ÷ 月总收入</f>
        <v/>
      </c>
      <c r="D24" s="10" t="inlineStr">
        <is>
          <t>❌ 严重偏低</t>
        </is>
      </c>
    </row>
    <row r="25">
      <c r="A25" s="6" t="inlineStr">
        <is>
          <t>高利润床位</t>
        </is>
      </c>
      <c r="B25" s="12" t="inlineStr">
        <is>
          <t>12.5%</t>
        </is>
      </c>
      <c r="C25" s="13" t="inlineStr">
        <is>
          <t>特护 20/160</t>
        </is>
      </c>
      <c r="D25" s="9" t="inlineStr">
        <is>
          <t>⚠️ &lt; 30%</t>
        </is>
      </c>
    </row>
    <row r="26">
      <c r="A26" s="6" t="inlineStr">
        <is>
          <t>中利润床位</t>
        </is>
      </c>
      <c r="B26" s="12" t="inlineStr">
        <is>
          <t>25.0%</t>
        </is>
      </c>
      <c r="C26" s="13" t="inlineStr">
        <is>
          <t>半护+全护 40/160</t>
        </is>
      </c>
      <c r="D26" s="9" t="inlineStr">
        <is>
          <t>⚠️ &lt; 40%</t>
        </is>
      </c>
    </row>
    <row r="27">
      <c r="A27" s="6" t="inlineStr">
        <is>
          <t>低利润床位</t>
        </is>
      </c>
      <c r="B27" s="12" t="inlineStr">
        <is>
          <t>62.5%</t>
        </is>
      </c>
      <c r="C27" s="13" t="inlineStr">
        <is>
          <t>自理 100/160</t>
        </is>
      </c>
      <c r="D27" s="10" t="inlineStr">
        <is>
          <t>❌ &gt; 30%</t>
        </is>
      </c>
    </row>
    <row r="29" ht="22" customHeight="1">
      <c r="A29" s="2" t="inlineStr">
        <is>
          <t>📑 13 个 Sheet 一览</t>
        </is>
      </c>
    </row>
    <row r="30">
      <c r="A30" s="11" t="inlineStr">
        <is>
          <t>Sheet</t>
        </is>
      </c>
      <c r="B30" s="11" t="inlineStr">
        <is>
          <t>用途</t>
        </is>
      </c>
      <c r="C30" s="11" t="inlineStr">
        <is>
          <t>谁用</t>
        </is>
      </c>
      <c r="D30" s="11" t="inlineStr">
        <is>
          <t>频次</t>
        </is>
      </c>
    </row>
    <row r="31">
      <c r="A31" s="4" t="inlineStr">
        <is>
          <t>📊 总览</t>
        </is>
      </c>
      <c r="B31" s="8" t="inlineStr">
        <is>
          <t>全局速览 + V02 关键发现</t>
        </is>
      </c>
      <c r="C31" s="15" t="inlineStr">
        <is>
          <t>院长</t>
        </is>
      </c>
      <c r="D31" s="15" t="inlineStr">
        <is>
          <t>月</t>
        </is>
      </c>
    </row>
    <row r="32">
      <c r="A32" s="4" t="inlineStr">
        <is>
          <t>🛏 单床成本核算</t>
        </is>
      </c>
      <c r="B32" s="8" t="inlineStr">
        <is>
          <t>单床成本公式</t>
        </is>
      </c>
      <c r="C32" s="15" t="inlineStr">
        <is>
          <t>院长</t>
        </is>
      </c>
      <c r="D32" s="15" t="inlineStr">
        <is>
          <t>月</t>
        </is>
      </c>
    </row>
    <row r="33">
      <c r="A33" s="4" t="inlineStr">
        <is>
          <t>💰 月度收支核算</t>
        </is>
      </c>
      <c r="B33" s="8" t="inlineStr">
        <is>
          <t>月度收入/支出明细</t>
        </is>
      </c>
      <c r="C33" s="15" t="inlineStr">
        <is>
          <t>院长</t>
        </is>
      </c>
      <c r="D33" s="15" t="inlineStr">
        <is>
          <t>月</t>
        </is>
      </c>
    </row>
    <row r="34">
      <c r="A34" s="4" t="inlineStr">
        <is>
          <t>⚖️ 分级别定价</t>
        </is>
      </c>
      <c r="B34" s="8" t="inlineStr">
        <is>
          <t>自理/半护/全护/特护定价</t>
        </is>
      </c>
      <c r="C34" s="15" t="inlineStr">
        <is>
          <t>院长</t>
        </is>
      </c>
      <c r="D34" s="15" t="inlineStr">
        <is>
          <t>季</t>
        </is>
      </c>
    </row>
    <row r="35">
      <c r="A35" s="4" t="inlineStr">
        <is>
          <t>📊 利润床位比例</t>
        </is>
      </c>
      <c r="B35" s="8" t="inlineStr">
        <is>
          <t>高/中/低利润比例测算</t>
        </is>
      </c>
      <c r="C35" s="15" t="inlineStr">
        <is>
          <t>院长</t>
        </is>
      </c>
      <c r="D35" s="15" t="inlineStr">
        <is>
          <t>月</t>
        </is>
      </c>
    </row>
    <row r="36">
      <c r="A36" s="4" t="inlineStr">
        <is>
          <t>👥 护理工时核算</t>
        </is>
      </c>
      <c r="B36" s="8" t="inlineStr">
        <is>
          <t>不同级别护理员配比</t>
        </is>
      </c>
      <c r="C36" s="15" t="inlineStr">
        <is>
          <t>护理主任</t>
        </is>
      </c>
      <c r="D36" s="15" t="inlineStr">
        <is>
          <t>月</t>
        </is>
      </c>
    </row>
    <row r="37">
      <c r="A37" s="4" t="inlineStr">
        <is>
          <t>📉 工资占比优化</t>
        </is>
      </c>
      <c r="B37" s="8" t="inlineStr">
        <is>
          <t>工资占总收入比</t>
        </is>
      </c>
      <c r="C37" s="15" t="inlineStr">
        <is>
          <t>院长</t>
        </is>
      </c>
      <c r="D37" s="15" t="inlineStr">
        <is>
          <t>月</t>
        </is>
      </c>
    </row>
    <row r="38">
      <c r="A38" s="4" t="inlineStr">
        <is>
          <t>🍳 食堂成本拆分</t>
        </is>
      </c>
      <c r="B38" s="8" t="inlineStr">
        <is>
          <t>餐费+食材</t>
        </is>
      </c>
      <c r="C38" s="15" t="inlineStr">
        <is>
          <t>院长</t>
        </is>
      </c>
      <c r="D38" s="15" t="inlineStr">
        <is>
          <t>月</t>
        </is>
      </c>
    </row>
    <row r="39">
      <c r="A39" s="4" t="inlineStr">
        <is>
          <t>🎯 结构优化方案</t>
        </is>
      </c>
      <c r="B39" s="8" t="inlineStr">
        <is>
          <t>7 步优化动作清单</t>
        </is>
      </c>
      <c r="C39" s="15" t="inlineStr">
        <is>
          <t>院长</t>
        </is>
      </c>
      <c r="D39" s="15" t="inlineStr">
        <is>
          <t>月</t>
        </is>
      </c>
    </row>
    <row r="40">
      <c r="A40" s="4" t="inlineStr">
        <is>
          <t>📋 数据录入模板</t>
        </is>
      </c>
      <c r="B40" s="8" t="inlineStr">
        <is>
          <t>可复制粘贴使用</t>
        </is>
      </c>
      <c r="C40" s="15" t="inlineStr">
        <is>
          <t>院长</t>
        </is>
      </c>
      <c r="D40" s="15" t="inlineStr">
        <is>
          <t>月</t>
        </is>
      </c>
    </row>
    <row r="41">
      <c r="A41" s="4" t="inlineStr">
        <is>
          <t>📖 公式原理</t>
        </is>
      </c>
      <c r="B41" s="8" t="inlineStr">
        <is>
          <t>为什么这样算</t>
        </is>
      </c>
      <c r="C41" s="15" t="inlineStr">
        <is>
          <t>院长</t>
        </is>
      </c>
      <c r="D41" s="15" t="inlineStr">
        <is>
          <t>首次</t>
        </is>
      </c>
    </row>
    <row r="42">
      <c r="A42" s="4" t="inlineStr">
        <is>
          <t>⚠️ V02 数据核查清单</t>
        </is>
      </c>
      <c r="B42" s="8" t="inlineStr">
        <is>
          <t>异常项核查</t>
        </is>
      </c>
      <c r="C42" s="15" t="inlineStr">
        <is>
          <t>院长</t>
        </is>
      </c>
      <c r="D42" s="15" t="inlineStr">
        <is>
          <t>立即</t>
        </is>
      </c>
    </row>
    <row r="43">
      <c r="A43" s="4" t="inlineStr">
        <is>
          <t>📅 月度核算日历</t>
        </is>
      </c>
      <c r="B43" s="8" t="inlineStr">
        <is>
          <t>每月固定核算时间</t>
        </is>
      </c>
      <c r="C43" s="15" t="inlineStr">
        <is>
          <t>院长</t>
        </is>
      </c>
      <c r="D43" s="15" t="inlineStr">
        <is>
          <t>月</t>
        </is>
      </c>
    </row>
  </sheetData>
  <mergeCells count="5">
    <mergeCell ref="A1:D1"/>
    <mergeCell ref="A8:D8"/>
    <mergeCell ref="A29:D29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1" t="inlineStr">
        <is>
          <t>单床位成本核算（核心公式 · 160 张床）</t>
        </is>
      </c>
    </row>
    <row r="2">
      <c r="A2" s="2" t="inlineStr">
        <is>
          <t>💡 核心公式（3 秒学会）</t>
        </is>
      </c>
    </row>
    <row r="3" ht="30" customHeight="1">
      <c r="A3" s="16" t="inlineStr">
        <is>
          <t>单床成本 = 月总支出 ÷ 总床位数</t>
        </is>
      </c>
    </row>
    <row r="4" ht="26" customHeight="1">
      <c r="A4" s="17" t="inlineStr">
        <is>
          <t>刘院长院：88,833 ÷ 160 = 555 元/月/床</t>
        </is>
      </c>
    </row>
    <row r="6">
      <c r="A6" s="2" t="inlineStr">
        <is>
          <t>📋 详细计算（基于刘院长真实数据）</t>
        </is>
      </c>
    </row>
    <row r="7">
      <c r="A7" s="11" t="inlineStr">
        <is>
          <t>支出项</t>
        </is>
      </c>
      <c r="B7" s="11" t="inlineStr">
        <is>
          <t>金额(元/月)</t>
        </is>
      </c>
      <c r="C7" s="11" t="inlineStr">
        <is>
          <t>占支出%</t>
        </is>
      </c>
      <c r="D7" s="11" t="inlineStr">
        <is>
          <t>归类</t>
        </is>
      </c>
      <c r="E7" s="11" t="inlineStr">
        <is>
          <t>备注</t>
        </is>
      </c>
    </row>
    <row r="8">
      <c r="A8" s="6" t="inlineStr">
        <is>
          <t>房租</t>
        </is>
      </c>
      <c r="B8" s="12" t="n">
        <v>5000</v>
      </c>
      <c r="C8" s="13">
        <f>B8/B13</f>
        <v/>
      </c>
      <c r="D8" s="15" t="inlineStr">
        <is>
          <t>固定</t>
        </is>
      </c>
      <c r="E8" s="8" t="inlineStr">
        <is>
          <t>固定支出，与床位数无关</t>
        </is>
      </c>
    </row>
    <row r="9">
      <c r="A9" s="6" t="inlineStr">
        <is>
          <t>水电</t>
        </is>
      </c>
      <c r="B9" s="12" t="n">
        <v>5000</v>
      </c>
      <c r="C9" s="13">
        <f>B9/B13</f>
        <v/>
      </c>
      <c r="D9" s="15" t="inlineStr">
        <is>
          <t>固定</t>
        </is>
      </c>
      <c r="E9" s="8" t="inlineStr">
        <is>
          <t>固定支出，与床位数弱相关</t>
        </is>
      </c>
    </row>
    <row r="10">
      <c r="A10" s="6" t="inlineStr">
        <is>
          <t>工资（全员）</t>
        </is>
      </c>
      <c r="B10" s="12" t="n">
        <v>70000</v>
      </c>
      <c r="C10" s="13">
        <f>B10/B13</f>
        <v/>
      </c>
      <c r="D10" s="15" t="inlineStr">
        <is>
          <t>变动</t>
        </is>
      </c>
      <c r="E10" s="8" t="inlineStr">
        <is>
          <t>变动支出，主要成本项</t>
        </is>
      </c>
    </row>
    <row r="11">
      <c r="A11" s="6" t="inlineStr">
        <is>
          <t>食堂食材</t>
        </is>
      </c>
      <c r="B11" s="12" t="n">
        <v>8000</v>
      </c>
      <c r="C11" s="13">
        <f>B11/B13</f>
        <v/>
      </c>
      <c r="D11" s="15" t="inlineStr">
        <is>
          <t>变动</t>
        </is>
      </c>
      <c r="E11" s="8" t="inlineStr">
        <is>
          <t>变动支出，按入院老人算</t>
        </is>
      </c>
    </row>
    <row r="12">
      <c r="A12" s="6" t="inlineStr">
        <is>
          <t>床品等物资</t>
        </is>
      </c>
      <c r="B12" s="12" t="n">
        <v>833</v>
      </c>
      <c r="C12" s="13">
        <f>B12/B13</f>
        <v/>
      </c>
      <c r="D12" s="15" t="inlineStr">
        <is>
          <t>固定</t>
        </is>
      </c>
      <c r="E12" s="8" t="inlineStr">
        <is>
          <t>固定支出，分摊</t>
        </is>
      </c>
    </row>
    <row r="13">
      <c r="A13" s="4" t="inlineStr">
        <is>
          <t>月总支出</t>
        </is>
      </c>
      <c r="B13" s="16">
        <f>SUM(B8:B12)</f>
        <v/>
      </c>
      <c r="C13" s="15" t="inlineStr">
        <is>
          <t>100%</t>
        </is>
      </c>
      <c r="D13" s="15" t="inlineStr">
        <is>
          <t>—</t>
        </is>
      </c>
      <c r="E13" s="13" t="inlineStr">
        <is>
          <t>自动求和</t>
        </is>
      </c>
    </row>
    <row r="15">
      <c r="A15" s="4" t="inlineStr">
        <is>
          <t>总床位数</t>
        </is>
      </c>
      <c r="B15" s="12" t="n">
        <v>160</v>
      </c>
    </row>
    <row r="16">
      <c r="A16" s="16" t="inlineStr">
        <is>
          <t>单床成本（元/月）</t>
        </is>
      </c>
      <c r="B16" s="7">
        <f>ROUND(B13/B15,0)</f>
        <v/>
      </c>
      <c r="C16" s="13">
        <f>单床成本</f>
        <v/>
      </c>
    </row>
    <row r="17">
      <c r="A17" s="16" t="inlineStr">
        <is>
          <t>单床成本（元/天）</t>
        </is>
      </c>
      <c r="B17" s="7">
        <f>ROUND(B16/30,0)</f>
        <v/>
      </c>
      <c r="C17" s="13" t="inlineStr">
        <is>
          <t>÷30天</t>
        </is>
      </c>
    </row>
    <row r="19" ht="22" customHeight="1">
      <c r="A19" s="5" t="inlineStr">
        <is>
          <t>⚠️ 数据核查提醒</t>
        </is>
      </c>
    </row>
    <row r="20">
      <c r="A20" s="8" t="inlineStr">
        <is>
          <t>1. 工资 7 万 ÷ 160 床 = 437 元/床/月</t>
        </is>
      </c>
      <c r="B20" s="8" t="inlineStr">
        <is>
          <t>但实际护理员至少 20-30 人，7 万÷30人=2333元/人，明显偏低</t>
        </is>
      </c>
      <c r="E20" s="9" t="inlineStr">
        <is>
          <t>需核查是否漏算</t>
        </is>
      </c>
    </row>
    <row r="21">
      <c r="A21" s="8" t="inlineStr">
        <is>
          <t>2. 食材 8000 ÷ 160 人 = 50 元/人/月</t>
        </is>
      </c>
      <c r="B21" s="8" t="inlineStr">
        <is>
          <t>一日三餐 50 元，几乎不可能</t>
        </is>
      </c>
      <c r="E21" s="9" t="inlineStr">
        <is>
          <t>需核查食材是否漏算</t>
        </is>
      </c>
    </row>
    <row r="22">
      <c r="A22" s="8" t="inlineStr">
        <is>
          <t>3. 房租 5000 元/月 = 31 元/床/月</t>
        </is>
      </c>
      <c r="B22" s="8" t="inlineStr">
        <is>
          <t>极低，可能自有房产或政府补贴</t>
        </is>
      </c>
      <c r="E22" s="9" t="inlineStr">
        <is>
          <t>确认是否长期可持续</t>
        </is>
      </c>
    </row>
    <row r="23">
      <c r="A23" s="8" t="inlineStr">
        <is>
          <t>4. 水电 5000 元/月</t>
        </is>
      </c>
      <c r="B23" s="8" t="inlineStr">
        <is>
          <t>160 张床，31 元/床/月</t>
        </is>
      </c>
      <c r="E23" s="9" t="inlineStr">
        <is>
          <t>需核查是否漏算（冬季供暖/空调）</t>
        </is>
      </c>
    </row>
  </sheetData>
  <mergeCells count="10">
    <mergeCell ref="A4:E4"/>
    <mergeCell ref="A2:E2"/>
    <mergeCell ref="B23:D23"/>
    <mergeCell ref="B22:D22"/>
    <mergeCell ref="A19:E19"/>
    <mergeCell ref="A1:E1"/>
    <mergeCell ref="B21:D21"/>
    <mergeCell ref="A6:E6"/>
    <mergeCell ref="B20:D2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8" customWidth="1" min="5" max="5"/>
  </cols>
  <sheetData>
    <row r="1" ht="36" customHeight="1">
      <c r="A1" s="1" t="inlineStr">
        <is>
          <t>月度收入 vs 支出（160 张床满员状态）</t>
        </is>
      </c>
    </row>
    <row r="2">
      <c r="A2" s="18" t="inlineStr">
        <is>
          <t>💰 月度收入</t>
        </is>
      </c>
    </row>
    <row r="3">
      <c r="A3" s="11" t="inlineStr">
        <is>
          <t>收入项</t>
        </is>
      </c>
      <c r="B3" s="11" t="inlineStr">
        <is>
          <t>单价</t>
        </is>
      </c>
      <c r="C3" s="11" t="inlineStr">
        <is>
          <t>人数</t>
        </is>
      </c>
      <c r="D3" s="11" t="inlineStr">
        <is>
          <t>金额</t>
        </is>
      </c>
      <c r="E3" s="11" t="inlineStr">
        <is>
          <t>说明</t>
        </is>
      </c>
    </row>
    <row r="4">
      <c r="A4" s="6" t="inlineStr">
        <is>
          <t>床位费</t>
        </is>
      </c>
      <c r="B4" s="12" t="n">
        <v>2000</v>
      </c>
      <c r="C4" s="12" t="n">
        <v>160</v>
      </c>
      <c r="D4" s="13">
        <f>B4*C4</f>
        <v/>
      </c>
      <c r="E4" s="8" t="inlineStr">
        <is>
          <t>全院 160 张床均收</t>
        </is>
      </c>
    </row>
    <row r="5">
      <c r="A5" s="6" t="inlineStr">
        <is>
          <t>餐费</t>
        </is>
      </c>
      <c r="B5" s="12" t="n">
        <v>900</v>
      </c>
      <c r="C5" s="12" t="n">
        <v>160</v>
      </c>
      <c r="D5" s="13">
        <f>B5*C5</f>
        <v/>
      </c>
      <c r="E5" s="8" t="inlineStr">
        <is>
          <t>160 位老人均收</t>
        </is>
      </c>
    </row>
    <row r="6">
      <c r="A6" s="6" t="inlineStr">
        <is>
          <t>护理费-自理</t>
        </is>
      </c>
      <c r="B6" s="12" t="n">
        <v>3500</v>
      </c>
      <c r="C6" s="12" t="n">
        <v>100</v>
      </c>
      <c r="D6" s="13">
        <f>B6*C6</f>
        <v/>
      </c>
      <c r="E6" s="8" t="inlineStr">
        <is>
          <t>自理 100 人</t>
        </is>
      </c>
    </row>
    <row r="7">
      <c r="A7" s="6" t="inlineStr">
        <is>
          <t>护理费-半护</t>
        </is>
      </c>
      <c r="B7" s="12" t="n">
        <v>4200</v>
      </c>
      <c r="C7" s="12" t="n">
        <v>20</v>
      </c>
      <c r="D7" s="13">
        <f>B7*C7</f>
        <v/>
      </c>
      <c r="E7" s="8" t="inlineStr">
        <is>
          <t>半护 20 人</t>
        </is>
      </c>
    </row>
    <row r="8">
      <c r="A8" s="6" t="inlineStr">
        <is>
          <t>护理费-全护</t>
        </is>
      </c>
      <c r="B8" s="12" t="n">
        <v>4560</v>
      </c>
      <c r="C8" s="12" t="n">
        <v>20</v>
      </c>
      <c r="D8" s="13">
        <f>B8*C8</f>
        <v/>
      </c>
      <c r="E8" s="8" t="inlineStr">
        <is>
          <t>全护 20 人</t>
        </is>
      </c>
    </row>
    <row r="9">
      <c r="A9" s="6" t="inlineStr">
        <is>
          <t>护理费-特护</t>
        </is>
      </c>
      <c r="B9" s="12" t="n">
        <v>5000</v>
      </c>
      <c r="C9" s="12" t="n">
        <v>20</v>
      </c>
      <c r="D9" s="13">
        <f>B9*C9</f>
        <v/>
      </c>
      <c r="E9" s="8" t="inlineStr">
        <is>
          <t>特护 20 人</t>
        </is>
      </c>
    </row>
    <row r="10">
      <c r="A10" s="6" t="inlineStr">
        <is>
          <t>供暖补贴</t>
        </is>
      </c>
      <c r="B10" s="12" t="n">
        <v>125</v>
      </c>
      <c r="C10" s="12" t="n">
        <v>160</v>
      </c>
      <c r="D10" s="13">
        <f>B10*C10</f>
        <v/>
      </c>
      <c r="E10" s="8" t="inlineStr">
        <is>
          <t>125元/人/月</t>
        </is>
      </c>
    </row>
    <row r="11">
      <c r="A11" s="7" t="inlineStr">
        <is>
          <t>月总收入</t>
        </is>
      </c>
      <c r="D11" s="7">
        <f>SUM(D4:D10)</f>
        <v/>
      </c>
    </row>
    <row r="13">
      <c r="A13" s="5" t="inlineStr">
        <is>
          <t>💸 月度支出</t>
        </is>
      </c>
    </row>
    <row r="14">
      <c r="A14" s="11" t="inlineStr">
        <is>
          <t>支出项</t>
        </is>
      </c>
      <c r="B14" s="11" t="inlineStr">
        <is>
          <t>金额</t>
        </is>
      </c>
      <c r="C14" s="11" t="inlineStr">
        <is>
          <t>类型</t>
        </is>
      </c>
      <c r="D14" s="11" t="inlineStr">
        <is>
          <t>占比</t>
        </is>
      </c>
      <c r="E14" s="11" t="inlineStr">
        <is>
          <t>说明</t>
        </is>
      </c>
    </row>
    <row r="15">
      <c r="A15" s="6" t="inlineStr">
        <is>
          <t>房租</t>
        </is>
      </c>
      <c r="B15" s="12" t="n">
        <v>5000</v>
      </c>
      <c r="C15" s="15" t="inlineStr">
        <is>
          <t>固定</t>
        </is>
      </c>
      <c r="D15" s="13">
        <f>B15/B20</f>
        <v/>
      </c>
      <c r="E15" s="8" t="inlineStr">
        <is>
          <t>固定支出</t>
        </is>
      </c>
    </row>
    <row r="16">
      <c r="A16" s="6" t="inlineStr">
        <is>
          <t>水电</t>
        </is>
      </c>
      <c r="B16" s="12" t="n">
        <v>5000</v>
      </c>
      <c r="C16" s="15" t="inlineStr">
        <is>
          <t>固定</t>
        </is>
      </c>
      <c r="D16" s="13">
        <f>B16/B20</f>
        <v/>
      </c>
      <c r="E16" s="8" t="inlineStr">
        <is>
          <t>固定支出</t>
        </is>
      </c>
    </row>
    <row r="17">
      <c r="A17" s="6" t="inlineStr">
        <is>
          <t>工资（全员）</t>
        </is>
      </c>
      <c r="B17" s="12" t="n">
        <v>70000</v>
      </c>
      <c r="C17" s="15" t="inlineStr">
        <is>
          <t>变动</t>
        </is>
      </c>
      <c r="D17" s="13">
        <f>B17/B20</f>
        <v/>
      </c>
      <c r="E17" s="8" t="inlineStr">
        <is>
          <t>变动支出</t>
        </is>
      </c>
    </row>
    <row r="18">
      <c r="A18" s="6" t="inlineStr">
        <is>
          <t>食堂食材</t>
        </is>
      </c>
      <c r="B18" s="12" t="n">
        <v>8000</v>
      </c>
      <c r="C18" s="15" t="inlineStr">
        <is>
          <t>变动</t>
        </is>
      </c>
      <c r="D18" s="13">
        <f>B18/B20</f>
        <v/>
      </c>
      <c r="E18" s="8" t="inlineStr">
        <is>
          <t>按 160 人计</t>
        </is>
      </c>
    </row>
    <row r="19">
      <c r="A19" s="6" t="inlineStr">
        <is>
          <t>床品等物资</t>
        </is>
      </c>
      <c r="B19" s="12" t="n">
        <v>833</v>
      </c>
      <c r="C19" s="15" t="inlineStr">
        <is>
          <t>固定</t>
        </is>
      </c>
      <c r="D19" s="13">
        <f>B19/B20</f>
        <v/>
      </c>
      <c r="E19" s="8" t="inlineStr">
        <is>
          <t>年 10000 ÷ 12</t>
        </is>
      </c>
    </row>
    <row r="20">
      <c r="A20" s="10" t="inlineStr">
        <is>
          <t>月总支出</t>
        </is>
      </c>
      <c r="B20" s="10">
        <f>SUM(B15:B19)</f>
        <v/>
      </c>
    </row>
    <row r="22">
      <c r="A22" s="19" t="inlineStr">
        <is>
          <t>📊 月利润（核心结果）</t>
        </is>
      </c>
    </row>
    <row r="23">
      <c r="A23" s="16" t="inlineStr">
        <is>
          <t>月利润</t>
        </is>
      </c>
      <c r="B23" s="7">
        <f>D11-B20</f>
        <v/>
      </c>
      <c r="C23" s="13">
        <f>收入-支出</f>
        <v/>
      </c>
    </row>
    <row r="24">
      <c r="A24" s="16" t="inlineStr">
        <is>
          <t>利润率</t>
        </is>
      </c>
      <c r="B24" s="7">
        <f>ROUND(B23/D11*100,1)</f>
        <v/>
      </c>
      <c r="C24" s="13">
        <f>利润/收入×100%</f>
        <v/>
      </c>
    </row>
    <row r="25">
      <c r="A25" s="20" t="inlineStr">
        <is>
          <t>⚠️ 数据异常提醒</t>
        </is>
      </c>
      <c r="B25" s="9" t="inlineStr">
        <is>
          <t>利润 102 万/利润率 92% 异常高，需核查工资、食材等是否漏算</t>
        </is>
      </c>
    </row>
  </sheetData>
  <mergeCells count="5">
    <mergeCell ref="A2:E2"/>
    <mergeCell ref="A1:E1"/>
    <mergeCell ref="B25:E25"/>
    <mergeCell ref="A13:E1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36" customHeight="1">
      <c r="A1" s="1" t="inlineStr">
        <is>
          <t>分级别定价（综合收入对比）</t>
        </is>
      </c>
    </row>
    <row r="2">
      <c r="A2" s="2" t="inlineStr">
        <is>
          <t>💡 定价公式（2 步）</t>
        </is>
      </c>
    </row>
    <row r="3">
      <c r="A3" s="16" t="inlineStr">
        <is>
          <t>分级综合收入 = 床位费 + 餐费 + 护理费</t>
        </is>
      </c>
    </row>
    <row r="4">
      <c r="A4" s="4" t="inlineStr">
        <is>
          <t>刘院长院定价：床位 2000 + 餐 900 + 护理 X = 综合收入</t>
        </is>
      </c>
    </row>
    <row r="6">
      <c r="A6" s="11" t="inlineStr">
        <is>
          <t>老人级别</t>
        </is>
      </c>
      <c r="B6" s="11" t="inlineStr">
        <is>
          <t>床位费</t>
        </is>
      </c>
      <c r="C6" s="11" t="inlineStr">
        <is>
          <t>餐费</t>
        </is>
      </c>
      <c r="D6" s="11" t="inlineStr">
        <is>
          <t>护理费</t>
        </is>
      </c>
      <c r="E6" s="11" t="inlineStr">
        <is>
          <t>综合收入</t>
        </is>
      </c>
      <c r="F6" s="11" t="inlineStr">
        <is>
          <t>vs 单床成本</t>
        </is>
      </c>
      <c r="G6" s="11" t="inlineStr">
        <is>
          <t>利润率</t>
        </is>
      </c>
    </row>
    <row r="7">
      <c r="A7" s="4" t="inlineStr">
        <is>
          <t>自理</t>
        </is>
      </c>
      <c r="B7" s="12" t="n">
        <v>2000</v>
      </c>
      <c r="C7" s="12" t="n">
        <v>900</v>
      </c>
      <c r="D7" s="12" t="n">
        <v>3500</v>
      </c>
      <c r="E7" s="13">
        <f>B7+C7+D7</f>
        <v/>
      </c>
      <c r="F7" s="7">
        <f>E7-555</f>
        <v/>
      </c>
      <c r="G7" s="7">
        <f>ROUND(F7/555*100,0)</f>
        <v/>
      </c>
    </row>
    <row r="8">
      <c r="A8" s="4" t="inlineStr">
        <is>
          <t>半护</t>
        </is>
      </c>
      <c r="B8" s="12" t="n">
        <v>2000</v>
      </c>
      <c r="C8" s="12" t="n">
        <v>900</v>
      </c>
      <c r="D8" s="12" t="n">
        <v>4200</v>
      </c>
      <c r="E8" s="13">
        <f>B8+C8+D8</f>
        <v/>
      </c>
      <c r="F8" s="7">
        <f>E8-555</f>
        <v/>
      </c>
      <c r="G8" s="7">
        <f>ROUND(F8/555*100,0)</f>
        <v/>
      </c>
    </row>
    <row r="9">
      <c r="A9" s="4" t="inlineStr">
        <is>
          <t>全护</t>
        </is>
      </c>
      <c r="B9" s="12" t="n">
        <v>2000</v>
      </c>
      <c r="C9" s="12" t="n">
        <v>900</v>
      </c>
      <c r="D9" s="12" t="n">
        <v>4560</v>
      </c>
      <c r="E9" s="13">
        <f>B9+C9+D9</f>
        <v/>
      </c>
      <c r="F9" s="7">
        <f>E9-555</f>
        <v/>
      </c>
      <c r="G9" s="7">
        <f>ROUND(F9/555*100,0)</f>
        <v/>
      </c>
    </row>
    <row r="10">
      <c r="A10" s="4" t="inlineStr">
        <is>
          <t>特护</t>
        </is>
      </c>
      <c r="B10" s="12" t="n">
        <v>2000</v>
      </c>
      <c r="C10" s="12" t="n">
        <v>900</v>
      </c>
      <c r="D10" s="12" t="n">
        <v>5000</v>
      </c>
      <c r="E10" s="13">
        <f>B10+C10+D10</f>
        <v/>
      </c>
      <c r="F10" s="7">
        <f>E10-555</f>
        <v/>
      </c>
      <c r="G10" s="7">
        <f>ROUND(F10/555*100,0)</f>
        <v/>
      </c>
    </row>
    <row r="12">
      <c r="A12" s="21" t="inlineStr">
        <is>
          <t>📋 关键洞察：综合收入远超单床成本，利润率均超 1000%</t>
        </is>
      </c>
    </row>
    <row r="13">
      <c r="A13" s="22" t="inlineStr">
        <is>
          <t>⚠️ 但这不代表真实利润——可能有大额成本被漏算（详见数据核查清单）</t>
        </is>
      </c>
    </row>
  </sheetData>
  <mergeCells count="6">
    <mergeCell ref="A13:G13"/>
    <mergeCell ref="A1:G1"/>
    <mergeCell ref="A3:G3"/>
    <mergeCell ref="A12:G12"/>
    <mergeCell ref="A4:G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22" customWidth="1" min="5" max="5"/>
    <col width="25" customWidth="1" min="6" max="6"/>
  </cols>
  <sheetData>
    <row r="1" ht="36" customHeight="1">
      <c r="A1" s="1" t="inlineStr">
        <is>
          <t>高/中/低利润床位比例测算（160 张床）</t>
        </is>
      </c>
    </row>
    <row r="2">
      <c r="A2" s="2" t="inlineStr">
        <is>
          <t>💡 利润床位 3 分法</t>
        </is>
      </c>
    </row>
    <row r="3">
      <c r="A3" s="4" t="inlineStr">
        <is>
          <t>高利润床（特护）≥ 30% · 中利润床（全护+半护）≥ 40% · 低利润床（自理）≤ 30%</t>
        </is>
      </c>
    </row>
    <row r="5">
      <c r="A5" s="11" t="inlineStr">
        <is>
          <t>利润类型</t>
        </is>
      </c>
      <c r="B5" s="11" t="inlineStr">
        <is>
          <t>级别</t>
        </is>
      </c>
      <c r="C5" s="11" t="inlineStr">
        <is>
          <t>床位数</t>
        </is>
      </c>
      <c r="D5" s="11" t="inlineStr">
        <is>
          <t>占总床%</t>
        </is>
      </c>
      <c r="E5" s="11" t="inlineStr">
        <is>
          <t>月护理费收入</t>
        </is>
      </c>
      <c r="F5" s="11" t="inlineStr">
        <is>
          <t>说明</t>
        </is>
      </c>
    </row>
    <row r="6">
      <c r="A6" s="23" t="inlineStr">
        <is>
          <t>高利润</t>
        </is>
      </c>
      <c r="B6" s="15" t="inlineStr">
        <is>
          <t>特护</t>
        </is>
      </c>
      <c r="C6" s="12" t="n">
        <v>20</v>
      </c>
      <c r="D6" s="13">
        <f>C6/160</f>
        <v/>
      </c>
      <c r="E6" s="13">
        <f>C6*E6</f>
        <v/>
      </c>
      <c r="F6" s="15" t="inlineStr">
        <is>
          <t>应≥30%</t>
        </is>
      </c>
    </row>
    <row r="7">
      <c r="A7" s="20" t="inlineStr">
        <is>
          <t>中利润</t>
        </is>
      </c>
      <c r="B7" s="15" t="inlineStr">
        <is>
          <t>全护</t>
        </is>
      </c>
      <c r="C7" s="12" t="n">
        <v>20</v>
      </c>
      <c r="D7" s="13">
        <f>C7/160</f>
        <v/>
      </c>
      <c r="E7" s="13">
        <f>C7*E7</f>
        <v/>
      </c>
      <c r="F7" s="15" t="inlineStr">
        <is>
          <t>应≥40%</t>
        </is>
      </c>
    </row>
    <row r="8">
      <c r="A8" s="20" t="inlineStr">
        <is>
          <t>中利润</t>
        </is>
      </c>
      <c r="B8" s="15" t="inlineStr">
        <is>
          <t>半护</t>
        </is>
      </c>
      <c r="C8" s="12" t="n">
        <v>20</v>
      </c>
      <c r="D8" s="13">
        <f>C8/160</f>
        <v/>
      </c>
      <c r="E8" s="13">
        <f>C8*E8</f>
        <v/>
      </c>
      <c r="F8" s="15" t="inlineStr">
        <is>
          <t>应≥40%</t>
        </is>
      </c>
    </row>
    <row r="9">
      <c r="A9" s="24" t="inlineStr">
        <is>
          <t>低利润</t>
        </is>
      </c>
      <c r="B9" s="15" t="inlineStr">
        <is>
          <t>自理</t>
        </is>
      </c>
      <c r="C9" s="12" t="n">
        <v>100</v>
      </c>
      <c r="D9" s="13">
        <f>C9/160</f>
        <v/>
      </c>
      <c r="E9" s="13">
        <f>C9*E9</f>
        <v/>
      </c>
      <c r="F9" s="15" t="inlineStr">
        <is>
          <t>应≤30%</t>
        </is>
      </c>
    </row>
    <row r="10">
      <c r="A10" s="16" t="inlineStr">
        <is>
          <t>合计</t>
        </is>
      </c>
      <c r="C10" s="7">
        <f>SUM(C6:C9)</f>
        <v/>
      </c>
      <c r="D10" s="7" t="inlineStr">
        <is>
          <t>100%</t>
        </is>
      </c>
      <c r="E10" s="7">
        <f>SUM(E6:E9)</f>
        <v/>
      </c>
    </row>
    <row r="12">
      <c r="A12" s="2" t="inlineStr">
        <is>
          <t>📊 现状评估（vs 健康线）</t>
        </is>
      </c>
    </row>
    <row r="13">
      <c r="A13" s="4" t="inlineStr">
        <is>
          <t>高利润占比</t>
        </is>
      </c>
      <c r="B13" s="10" t="inlineStr">
        <is>
          <t>12.5%</t>
        </is>
      </c>
      <c r="C13" s="15" t="inlineStr">
        <is>
          <t>应≥30%，❌ 严重不足</t>
        </is>
      </c>
    </row>
    <row r="14">
      <c r="A14" s="4" t="inlineStr">
        <is>
          <t>中利润占比</t>
        </is>
      </c>
      <c r="B14" s="10" t="inlineStr">
        <is>
          <t>25.0%</t>
        </is>
      </c>
      <c r="C14" s="15" t="inlineStr">
        <is>
          <t>应≥40%，❌ 严重不足</t>
        </is>
      </c>
    </row>
    <row r="15">
      <c r="A15" s="4" t="inlineStr">
        <is>
          <t>低利润占比</t>
        </is>
      </c>
      <c r="B15" s="10" t="inlineStr">
        <is>
          <t>62.5%</t>
        </is>
      </c>
      <c r="C15" s="15" t="inlineStr">
        <is>
          <t>应≤30%，❌ 严重超标</t>
        </is>
      </c>
    </row>
    <row r="17">
      <c r="A17" s="18" t="inlineStr">
        <is>
          <t>✅ 改进方案：扩护理区 + 减少自理</t>
        </is>
      </c>
    </row>
    <row r="18">
      <c r="A18" s="6" t="inlineStr">
        <is>
          <t>目标 1：高利润床从 12.5% → 30%</t>
        </is>
      </c>
      <c r="B18" s="8" t="inlineStr">
        <is>
          <t>新增特护床 28 张（20→48 张）</t>
        </is>
      </c>
      <c r="E18" s="8" t="inlineStr">
        <is>
          <t>需新增 28 张失能床位</t>
        </is>
      </c>
    </row>
    <row r="19">
      <c r="A19" s="6" t="inlineStr">
        <is>
          <t>目标 2：中利润床从 25% → 40%</t>
        </is>
      </c>
      <c r="B19" s="8" t="inlineStr">
        <is>
          <t>新增全护/半护 24 张（40→64 张）</t>
        </is>
      </c>
      <c r="E19" s="8" t="inlineStr">
        <is>
          <t>需新增 24 张护理床位</t>
        </is>
      </c>
    </row>
    <row r="20">
      <c r="A20" s="6" t="inlineStr">
        <is>
          <t>目标 3：低利润床从 62.5% → 30%</t>
        </is>
      </c>
      <c r="B20" s="8" t="inlineStr">
        <is>
          <t>减少自理床 52 张（100→48 张）</t>
        </is>
      </c>
      <c r="E20" s="8" t="inlineStr">
        <is>
          <t>释放床位给护理</t>
        </is>
      </c>
    </row>
    <row r="21">
      <c r="A21" s="6" t="inlineStr">
        <is>
          <t>调整后总床位</t>
        </is>
      </c>
      <c r="B21" s="8" t="inlineStr">
        <is>
          <t>160 张 → 160 张（结构优化）</t>
        </is>
      </c>
      <c r="E21" s="8" t="inlineStr">
        <is>
          <t>月利润预计大幅提升</t>
        </is>
      </c>
    </row>
  </sheetData>
  <mergeCells count="13">
    <mergeCell ref="A2:F2"/>
    <mergeCell ref="B19:D19"/>
    <mergeCell ref="E20:F20"/>
    <mergeCell ref="E21:F21"/>
    <mergeCell ref="A1:F1"/>
    <mergeCell ref="E19:F19"/>
    <mergeCell ref="B18:D18"/>
    <mergeCell ref="A17:F17"/>
    <mergeCell ref="A12:F12"/>
    <mergeCell ref="B21:D21"/>
    <mergeCell ref="A3:F3"/>
    <mergeCell ref="E18:F18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36" customHeight="1">
      <c r="A1" s="1" t="inlineStr">
        <is>
          <t>护理工时核算（160 张床）</t>
        </is>
      </c>
    </row>
    <row r="2">
      <c r="A2" s="2" t="inlineStr">
        <is>
          <t>💡 工时公式</t>
        </is>
      </c>
    </row>
    <row r="3">
      <c r="A3" s="16" t="inlineStr">
        <is>
          <t>单老人日工时 = 基础 1.0h + 半护 +1h + 全护 +2h + 特护 +3h</t>
        </is>
      </c>
    </row>
    <row r="5">
      <c r="A5" s="11" t="inlineStr">
        <is>
          <t>级别</t>
        </is>
      </c>
      <c r="B5" s="11" t="inlineStr">
        <is>
          <t>基础工时</t>
        </is>
      </c>
      <c r="C5" s="11" t="inlineStr">
        <is>
          <t>等级加成</t>
        </is>
      </c>
      <c r="D5" s="11" t="inlineStr">
        <is>
          <t>单人日工时</t>
        </is>
      </c>
      <c r="E5" s="11" t="inlineStr">
        <is>
          <t>护理员日工时上限</t>
        </is>
      </c>
      <c r="F5" s="11" t="inlineStr">
        <is>
          <t>可照护人数</t>
        </is>
      </c>
      <c r="G5" s="11" t="inlineStr">
        <is>
          <t>1:陪比</t>
        </is>
      </c>
    </row>
    <row r="6">
      <c r="A6" s="4" t="inlineStr">
        <is>
          <t>自理</t>
        </is>
      </c>
      <c r="B6" s="12" t="n">
        <v>1</v>
      </c>
      <c r="C6" s="12" t="n">
        <v>0</v>
      </c>
      <c r="D6" s="13">
        <f>B6+C6</f>
        <v/>
      </c>
      <c r="E6" s="12" t="n">
        <v>8</v>
      </c>
      <c r="F6" s="13">
        <f>ROUND(E6/D6,1)</f>
        <v/>
      </c>
      <c r="G6" s="15" t="inlineStr">
        <is>
          <t>1:8.0</t>
        </is>
      </c>
    </row>
    <row r="7">
      <c r="A7" s="4" t="inlineStr">
        <is>
          <t>半护</t>
        </is>
      </c>
      <c r="B7" s="12" t="n">
        <v>1</v>
      </c>
      <c r="C7" s="12" t="n">
        <v>1</v>
      </c>
      <c r="D7" s="13">
        <f>B7+C7</f>
        <v/>
      </c>
      <c r="E7" s="12" t="n">
        <v>8</v>
      </c>
      <c r="F7" s="13">
        <f>ROUND(E7/D7,1)</f>
        <v/>
      </c>
      <c r="G7" s="15" t="inlineStr">
        <is>
          <t>1:4.0</t>
        </is>
      </c>
    </row>
    <row r="8">
      <c r="A8" s="4" t="inlineStr">
        <is>
          <t>全护</t>
        </is>
      </c>
      <c r="B8" s="12" t="n">
        <v>1</v>
      </c>
      <c r="C8" s="12" t="n">
        <v>2</v>
      </c>
      <c r="D8" s="13">
        <f>B8+C8</f>
        <v/>
      </c>
      <c r="E8" s="12" t="n">
        <v>8</v>
      </c>
      <c r="F8" s="13">
        <f>ROUND(E8/D8,1)</f>
        <v/>
      </c>
      <c r="G8" s="15" t="inlineStr">
        <is>
          <t>1:2.7</t>
        </is>
      </c>
    </row>
    <row r="9">
      <c r="A9" s="4" t="inlineStr">
        <is>
          <t>特护</t>
        </is>
      </c>
      <c r="B9" s="12" t="n">
        <v>1</v>
      </c>
      <c r="C9" s="12" t="n">
        <v>3</v>
      </c>
      <c r="D9" s="13">
        <f>B9+C9</f>
        <v/>
      </c>
      <c r="E9" s="12" t="n">
        <v>8</v>
      </c>
      <c r="F9" s="13">
        <f>ROUND(E9/D9,1)</f>
        <v/>
      </c>
      <c r="G9" s="15" t="inlineStr">
        <is>
          <t>1:2.0</t>
        </is>
      </c>
    </row>
    <row r="11">
      <c r="A11" s="2" t="inlineStr">
        <is>
          <t>📋 刘院长院现状测算（160 床：自理 100 + 半护 20 + 全护 20 + 特护 20）</t>
        </is>
      </c>
    </row>
    <row r="12">
      <c r="A12" s="11" t="inlineStr">
        <is>
          <t>级别</t>
        </is>
      </c>
      <c r="B12" s="11" t="inlineStr">
        <is>
          <t>人数</t>
        </is>
      </c>
      <c r="C12" s="11" t="inlineStr">
        <is>
          <t>单人日工时</t>
        </is>
      </c>
      <c r="D12" s="11" t="inlineStr">
        <is>
          <t>合计工时</t>
        </is>
      </c>
      <c r="E12" s="11" t="inlineStr">
        <is>
          <t>需要护理员</t>
        </is>
      </c>
      <c r="F12" s="11" t="inlineStr">
        <is>
          <t>实际/建议</t>
        </is>
      </c>
      <c r="G12" s="11" t="inlineStr">
        <is>
          <t>差距</t>
        </is>
      </c>
    </row>
    <row r="13">
      <c r="A13" s="4" t="inlineStr">
        <is>
          <t>自理</t>
        </is>
      </c>
      <c r="B13" s="12" t="n">
        <v>100</v>
      </c>
      <c r="C13" s="12" t="n">
        <v>1</v>
      </c>
      <c r="D13" s="13">
        <f>B13*C13</f>
        <v/>
      </c>
    </row>
    <row r="14">
      <c r="A14" s="4" t="inlineStr">
        <is>
          <t>半护</t>
        </is>
      </c>
      <c r="B14" s="12" t="n">
        <v>20</v>
      </c>
      <c r="C14" s="12" t="n">
        <v>2</v>
      </c>
      <c r="D14" s="13">
        <f>B14*C14</f>
        <v/>
      </c>
    </row>
    <row r="15">
      <c r="A15" s="4" t="inlineStr">
        <is>
          <t>全护</t>
        </is>
      </c>
      <c r="B15" s="12" t="n">
        <v>20</v>
      </c>
      <c r="C15" s="12" t="n">
        <v>3</v>
      </c>
      <c r="D15" s="13">
        <f>B15*C15</f>
        <v/>
      </c>
    </row>
    <row r="16">
      <c r="A16" s="4" t="inlineStr">
        <is>
          <t>特护</t>
        </is>
      </c>
      <c r="B16" s="12" t="n">
        <v>20</v>
      </c>
      <c r="C16" s="12" t="n">
        <v>4</v>
      </c>
      <c r="D16" s="13">
        <f>B16*C16</f>
        <v/>
      </c>
    </row>
    <row r="17">
      <c r="A17" s="16" t="inlineStr">
        <is>
          <t>合计</t>
        </is>
      </c>
      <c r="D17" s="7" t="n">
        <v>280</v>
      </c>
      <c r="E17" s="7">
        <f>ROUND(D17/8,1)</f>
        <v/>
      </c>
      <c r="F17" s="15" t="inlineStr">
        <is>
          <t>需补足</t>
        </is>
      </c>
    </row>
    <row r="19" ht="36" customHeight="1">
      <c r="A19" s="25" t="inlineStr">
        <is>
          <t>⚠️ 关键发现：160 床合计需要 35.0 个护理员（三班倒需 3 倍 ≈ 105.0 人）</t>
        </is>
      </c>
    </row>
    <row r="20">
      <c r="A20" s="26" t="inlineStr">
        <is>
          <t>但工资支出仅 7 万 ÷ 160 人 ≈ 437 元/床，扣除 20 后厨 + 5 行政 ≈ 60 个护理员 × 1000 元 = 6 万</t>
        </is>
      </c>
    </row>
    <row r="21">
      <c r="A21" s="27" t="inlineStr">
        <is>
          <t>→ 工资严重漏算，可能漏掉 30+ 护理员的工资</t>
        </is>
      </c>
    </row>
  </sheetData>
  <mergeCells count="7">
    <mergeCell ref="A1:G1"/>
    <mergeCell ref="A3:G3"/>
    <mergeCell ref="A21:G21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5" customWidth="1" min="5" max="5"/>
  </cols>
  <sheetData>
    <row r="1" ht="36" customHeight="1">
      <c r="A1" s="1" t="inlineStr">
        <is>
          <t>工资占总收入比（健康线：50-55%）</t>
        </is>
      </c>
    </row>
    <row r="2">
      <c r="A2" s="2" t="inlineStr">
        <is>
          <t>💡 公式</t>
        </is>
      </c>
    </row>
    <row r="3">
      <c r="A3" s="16" t="inlineStr">
        <is>
          <t>工资占比 = 月工资 ÷ 月总收入 × 100%</t>
        </is>
      </c>
    </row>
    <row r="5">
      <c r="A5" s="11" t="inlineStr">
        <is>
          <t>项目</t>
        </is>
      </c>
      <c r="B5" s="11" t="inlineStr">
        <is>
          <t>金额</t>
        </is>
      </c>
      <c r="C5" s="11" t="inlineStr">
        <is>
          <t>占比</t>
        </is>
      </c>
      <c r="D5" s="11" t="inlineStr">
        <is>
          <t>健康线</t>
        </is>
      </c>
      <c r="E5" s="11" t="inlineStr">
        <is>
          <t>评估</t>
        </is>
      </c>
    </row>
    <row r="6">
      <c r="A6" s="4" t="inlineStr">
        <is>
          <t>月工资总额</t>
        </is>
      </c>
      <c r="B6" s="12" t="n">
        <v>70000</v>
      </c>
    </row>
    <row r="7">
      <c r="A7" s="4" t="inlineStr">
        <is>
          <t>月总收入</t>
        </is>
      </c>
      <c r="B7" s="12" t="n">
        <v>1109200</v>
      </c>
    </row>
    <row r="8">
      <c r="A8" s="16" t="inlineStr">
        <is>
          <t>⚠️ 当前工资占比</t>
        </is>
      </c>
      <c r="B8" s="10">
        <f>ROUND(B6/B7*100,1)</f>
        <v/>
      </c>
      <c r="C8" s="15" t="inlineStr">
        <is>
          <t>%</t>
        </is>
      </c>
      <c r="D8" s="15" t="inlineStr">
        <is>
          <t>50-55%</t>
        </is>
      </c>
      <c r="E8" s="10" t="inlineStr">
        <is>
          <t>❌ 严重偏低（漏算）</t>
        </is>
      </c>
    </row>
    <row r="10">
      <c r="A10" s="5" t="inlineStr">
        <is>
          <t>⚠️ 工资漏算分析</t>
        </is>
      </c>
    </row>
    <row r="11">
      <c r="A11" s="6" t="inlineStr">
        <is>
          <t>按 160 床满员标准配置</t>
        </is>
      </c>
      <c r="B11" s="8" t="inlineStr">
        <is>
          <t>护理员 60 人 × 8000 元/月 = 48 万</t>
        </is>
      </c>
      <c r="E11" s="10" t="inlineStr">
        <is>
          <t>严重漏算</t>
        </is>
      </c>
    </row>
    <row r="12">
      <c r="A12" s="6" t="inlineStr">
        <is>
          <t>按 8h 三班倒</t>
        </is>
      </c>
      <c r="B12" s="8" t="inlineStr">
        <is>
          <t>需要护理员 180 人 × 8000 = 144 万</t>
        </is>
      </c>
      <c r="E12" s="10" t="inlineStr">
        <is>
          <t>完全漏算</t>
        </is>
      </c>
    </row>
    <row r="13">
      <c r="A13" s="6" t="inlineStr">
        <is>
          <t>按行业最低标准</t>
        </is>
      </c>
      <c r="B13" s="8" t="inlineStr">
        <is>
          <t>护理员 40 人 × 6000 = 24 万</t>
        </is>
      </c>
      <c r="E13" s="9" t="inlineStr">
        <is>
          <t>也有 17 万缺口</t>
        </is>
      </c>
    </row>
    <row r="14">
      <c r="A14" s="6" t="inlineStr">
        <is>
          <t>合理估算</t>
        </is>
      </c>
      <c r="B14" s="8" t="inlineStr">
        <is>
          <t>工资应至少 30-50 万/月</t>
        </is>
      </c>
      <c r="E14" s="9" t="inlineStr">
        <is>
          <t>占比 27-45%（健康）</t>
        </is>
      </c>
    </row>
  </sheetData>
  <mergeCells count="8">
    <mergeCell ref="B11:D11"/>
    <mergeCell ref="B14:D14"/>
    <mergeCell ref="A2:E2"/>
    <mergeCell ref="A10:E10"/>
    <mergeCell ref="B13:D13"/>
    <mergeCell ref="A1:E1"/>
    <mergeCell ref="B12:D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25" customWidth="1" min="5" max="5"/>
  </cols>
  <sheetData>
    <row r="1" ht="36" customHeight="1">
      <c r="A1" s="1" t="inlineStr">
        <is>
          <t>食堂成本拆分（160 张床）</t>
        </is>
      </c>
    </row>
    <row r="2">
      <c r="A2" s="9" t="inlineStr">
        <is>
          <t>💡 关键发现：160 人餐费仅 8000 元食材，远低于行业标准</t>
        </is>
      </c>
    </row>
    <row r="4">
      <c r="A4" s="11" t="inlineStr">
        <is>
          <t>项目</t>
        </is>
      </c>
      <c r="B4" s="11" t="inlineStr">
        <is>
          <t>金额(元/月)</t>
        </is>
      </c>
      <c r="C4" s="11" t="inlineStr">
        <is>
          <t>说明</t>
        </is>
      </c>
      <c r="D4" s="11" t="inlineStr">
        <is>
          <t>公式</t>
        </is>
      </c>
      <c r="E4" s="11" t="inlineStr">
        <is>
          <t>评估</t>
        </is>
      </c>
    </row>
    <row r="5">
      <c r="A5" s="6" t="inlineStr">
        <is>
          <t>食材成本</t>
        </is>
      </c>
      <c r="B5" s="12" t="n">
        <v>8000</v>
      </c>
      <c r="C5" s="8" t="inlineStr">
        <is>
          <t>肉禽蛋奶等</t>
        </is>
      </c>
      <c r="D5" s="13" t="inlineStr">
        <is>
          <t>—</t>
        </is>
      </c>
      <c r="E5" s="7" t="inlineStr">
        <is>
          <t>已计入总支出</t>
        </is>
      </c>
    </row>
    <row r="6">
      <c r="A6" s="6" t="inlineStr">
        <is>
          <t>后厨工资（估算）</t>
        </is>
      </c>
      <c r="B6" s="12" t="n">
        <v>0</v>
      </c>
      <c r="C6" s="8" t="inlineStr">
        <is>
          <t>160 张床建议配 5-6 个后厨</t>
        </is>
      </c>
      <c r="D6" s="13" t="inlineStr">
        <is>
          <t>估算 20000</t>
        </is>
      </c>
      <c r="E6" s="10" t="inlineStr">
        <is>
          <t>❌ 漏算</t>
        </is>
      </c>
    </row>
    <row r="7">
      <c r="A7" s="6" t="inlineStr">
        <is>
          <t>餐费总收入</t>
        </is>
      </c>
      <c r="B7" s="12" t="n">
        <v>144000</v>
      </c>
      <c r="C7" s="8" t="inlineStr">
        <is>
          <t>160 人 × 900</t>
        </is>
      </c>
      <c r="D7" s="13">
        <f>160×900</f>
        <v/>
      </c>
      <c r="E7" s="7" t="inlineStr">
        <is>
          <t>收入正常</t>
        </is>
      </c>
    </row>
    <row r="8">
      <c r="A8" s="6" t="inlineStr">
        <is>
          <t>食材人均</t>
        </is>
      </c>
      <c r="B8" s="12" t="n">
        <v>50</v>
      </c>
      <c r="C8" s="8" t="inlineStr">
        <is>
          <t>8000÷160 人 ÷ 30 天 = 1.7 元/天/人</t>
        </is>
      </c>
      <c r="D8" s="13" t="inlineStr">
        <is>
          <t>极低</t>
        </is>
      </c>
      <c r="E8" s="10" t="inlineStr">
        <is>
          <t>❌ 偏低</t>
        </is>
      </c>
    </row>
    <row r="9">
      <c r="A9" s="6" t="inlineStr">
        <is>
          <t>市场参考人均食材</t>
        </is>
      </c>
      <c r="B9" s="12" t="n">
        <v>1500</v>
      </c>
      <c r="C9" s="8" t="inlineStr">
        <is>
          <t>按 50 元/天 × 30 天</t>
        </is>
      </c>
      <c r="D9" s="13" t="inlineStr">
        <is>
          <t>行业标准</t>
        </is>
      </c>
      <c r="E9" s="7" t="inlineStr">
        <is>
          <t>—</t>
        </is>
      </c>
    </row>
    <row r="10">
      <c r="A10" s="6" t="inlineStr">
        <is>
          <t>食材缺口</t>
        </is>
      </c>
      <c r="B10" s="12" t="n">
        <v>224000</v>
      </c>
      <c r="C10" s="8" t="inlineStr">
        <is>
          <t>160人 × 1450元差额</t>
        </is>
      </c>
      <c r="D10" s="13" t="inlineStr">
        <is>
          <t>—</t>
        </is>
      </c>
      <c r="E10" s="10" t="inlineStr">
        <is>
          <t>❌ 严重漏算</t>
        </is>
      </c>
    </row>
    <row r="12">
      <c r="A12" s="28" t="inlineStr">
        <is>
          <t>✅ 建议：食材成本应至少调到 24 万/月（含后厨工资），餐费应调到 1500 元/月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6" customHeight="1">
      <c r="A1" s="1" t="inlineStr">
        <is>
          <t>7 步结构优化方案（执行清单）</t>
        </is>
      </c>
    </row>
    <row r="2">
      <c r="A2" s="11" t="inlineStr">
        <is>
          <t>序号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完成时间</t>
        </is>
      </c>
      <c r="E2" s="11" t="inlineStr">
        <is>
          <t>预估效果</t>
        </is>
      </c>
      <c r="F2" s="11" t="inlineStr">
        <is>
          <t>判定标准</t>
        </is>
      </c>
    </row>
    <row r="3">
      <c r="A3" s="4" t="n">
        <v>1</v>
      </c>
      <c r="B3" s="8" t="inlineStr">
        <is>
          <t>数据核查：列出全员工资表</t>
        </is>
      </c>
      <c r="C3" s="15" t="inlineStr">
        <is>
          <t>院长+财务</t>
        </is>
      </c>
      <c r="D3" s="15" t="inlineStr">
        <is>
          <t>立即</t>
        </is>
      </c>
      <c r="E3" s="7" t="inlineStr">
        <is>
          <t>摸清真实工资</t>
        </is>
      </c>
      <c r="F3" s="8" t="inlineStr">
        <is>
          <t>工资占比 50-55%</t>
        </is>
      </c>
    </row>
    <row r="4">
      <c r="A4" s="4" t="n">
        <v>2</v>
      </c>
      <c r="B4" s="8" t="inlineStr">
        <is>
          <t>数据核查：列出食材真实成本</t>
        </is>
      </c>
      <c r="C4" s="15" t="inlineStr">
        <is>
          <t>院长+采购</t>
        </is>
      </c>
      <c r="D4" s="15" t="inlineStr">
        <is>
          <t>立即</t>
        </is>
      </c>
      <c r="E4" s="7" t="inlineStr">
        <is>
          <t>摸清真实食材</t>
        </is>
      </c>
      <c r="F4" s="8" t="inlineStr">
        <is>
          <t>食材人均 50 元/天</t>
        </is>
      </c>
    </row>
    <row r="5">
      <c r="A5" s="4" t="n">
        <v>3</v>
      </c>
      <c r="B5" s="8" t="inlineStr">
        <is>
          <t>扩特护：新增 28 张特护床</t>
        </is>
      </c>
      <c r="C5" s="15" t="inlineStr">
        <is>
          <t>院长</t>
        </is>
      </c>
      <c r="D5" s="15" t="inlineStr">
        <is>
          <t>3 个月内</t>
        </is>
      </c>
      <c r="E5" s="7" t="inlineStr">
        <is>
          <t>+ 14 万/月收入</t>
        </is>
      </c>
      <c r="F5" s="8" t="inlineStr">
        <is>
          <t>特护床 ≥ 30%</t>
        </is>
      </c>
    </row>
    <row r="6">
      <c r="A6" s="4" t="n">
        <v>4</v>
      </c>
      <c r="B6" s="8" t="inlineStr">
        <is>
          <t>扩全护半护：新增 24 张护理床</t>
        </is>
      </c>
      <c r="C6" s="15" t="inlineStr">
        <is>
          <t>院长</t>
        </is>
      </c>
      <c r="D6" s="15" t="inlineStr">
        <is>
          <t>3 个月内</t>
        </is>
      </c>
      <c r="E6" s="7" t="inlineStr">
        <is>
          <t>+ 10 万/月收入</t>
        </is>
      </c>
      <c r="F6" s="8" t="inlineStr">
        <is>
          <t>护理床 ≥ 40%</t>
        </is>
      </c>
    </row>
    <row r="7">
      <c r="A7" s="4" t="n">
        <v>5</v>
      </c>
      <c r="B7" s="8" t="inlineStr">
        <is>
          <t>减自理床：从 100 张减到 48 张</t>
        </is>
      </c>
      <c r="C7" s="15" t="inlineStr">
        <is>
          <t>院长</t>
        </is>
      </c>
      <c r="D7" s="15" t="inlineStr">
        <is>
          <t>6 个月内</t>
        </is>
      </c>
      <c r="E7" s="7" t="inlineStr">
        <is>
          <t>结构优化</t>
        </is>
      </c>
      <c r="F7" s="8" t="inlineStr">
        <is>
          <t>自理床 ≤ 30%</t>
        </is>
      </c>
    </row>
    <row r="8">
      <c r="A8" s="4" t="n">
        <v>6</v>
      </c>
      <c r="B8" s="8" t="inlineStr">
        <is>
          <t>餐费调到 1500 元/月</t>
        </is>
      </c>
      <c r="C8" s="15" t="inlineStr">
        <is>
          <t>院长</t>
        </is>
      </c>
      <c r="D8" s="15" t="inlineStr">
        <is>
          <t>1 个月内</t>
        </is>
      </c>
      <c r="E8" s="7" t="inlineStr">
        <is>
          <t>+ 9.6 万/月</t>
        </is>
      </c>
      <c r="F8" s="8" t="inlineStr">
        <is>
          <t>餐费覆盖食材+工资</t>
        </is>
      </c>
    </row>
    <row r="9">
      <c r="A9" s="4" t="n">
        <v>7</v>
      </c>
      <c r="B9" s="8" t="inlineStr">
        <is>
          <t>建立月度核算 + 数据看板</t>
        </is>
      </c>
      <c r="C9" s="15" t="inlineStr">
        <is>
          <t>院长</t>
        </is>
      </c>
      <c r="D9" s="15" t="inlineStr">
        <is>
          <t>每月固定</t>
        </is>
      </c>
      <c r="E9" s="7" t="inlineStr">
        <is>
          <t>持续优化</t>
        </is>
      </c>
      <c r="F9" s="8" t="inlineStr">
        <is>
          <t>利润率 20-30%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数据录入模板（每月固定填写）</t>
        </is>
      </c>
    </row>
    <row r="2">
      <c r="A2" s="2" t="inlineStr">
        <is>
          <t>🏢 院基本信息（每月更新）</t>
        </is>
      </c>
    </row>
    <row r="3">
      <c r="A3" s="11" t="inlineStr">
        <is>
          <t>项目</t>
        </is>
      </c>
      <c r="B3" s="11" t="inlineStr">
        <is>
          <t>数值</t>
        </is>
      </c>
      <c r="C3" s="11" t="inlineStr">
        <is>
          <t>项目</t>
        </is>
      </c>
      <c r="D3" s="11" t="inlineStr">
        <is>
          <t>数值</t>
        </is>
      </c>
    </row>
    <row r="4">
      <c r="A4" s="4" t="inlineStr">
        <is>
          <t>月份</t>
        </is>
      </c>
      <c r="B4" s="12" t="inlineStr">
        <is>
          <t>2026-__</t>
        </is>
      </c>
      <c r="C4" s="4" t="inlineStr">
        <is>
          <t>床位数</t>
        </is>
      </c>
      <c r="D4" s="12" t="n">
        <v>160</v>
      </c>
    </row>
    <row r="5">
      <c r="A5" s="4" t="inlineStr">
        <is>
          <t>入住老人数</t>
        </is>
      </c>
      <c r="B5" s="12" t="n">
        <v>160</v>
      </c>
      <c r="C5" s="4" t="inlineStr">
        <is>
          <t>其中：自理</t>
        </is>
      </c>
      <c r="D5" s="12" t="n">
        <v>100</v>
      </c>
    </row>
    <row r="6">
      <c r="A6" s="4" t="inlineStr">
        <is>
          <t>其中：半护</t>
        </is>
      </c>
      <c r="B6" s="12" t="n">
        <v>20</v>
      </c>
      <c r="C6" s="4" t="inlineStr">
        <is>
          <t>其中：全护</t>
        </is>
      </c>
      <c r="D6" s="12" t="n">
        <v>20</v>
      </c>
    </row>
    <row r="7">
      <c r="A7" s="4" t="inlineStr">
        <is>
          <t>其中：特护</t>
        </is>
      </c>
      <c r="B7" s="12" t="n">
        <v>20</v>
      </c>
      <c r="C7" s="4" t="inlineStr"/>
      <c r="D7" s="12" t="inlineStr"/>
    </row>
    <row r="9">
      <c r="A9" s="18" t="inlineStr">
        <is>
          <t>💰 月度收入（每月填）</t>
        </is>
      </c>
    </row>
    <row r="10">
      <c r="A10" s="11" t="inlineStr">
        <is>
          <t>收入项</t>
        </is>
      </c>
      <c r="B10" s="11" t="inlineStr">
        <is>
          <t>金额</t>
        </is>
      </c>
      <c r="C10" s="11" t="inlineStr">
        <is>
          <t>收入项</t>
        </is>
      </c>
      <c r="D10" s="11" t="inlineStr">
        <is>
          <t>金额</t>
        </is>
      </c>
    </row>
    <row r="11">
      <c r="A11" s="4" t="inlineStr">
        <is>
          <t>床位费总额</t>
        </is>
      </c>
      <c r="B11" s="12" t="n">
        <v>320000</v>
      </c>
      <c r="C11" s="4" t="inlineStr">
        <is>
          <t>餐费总额</t>
        </is>
      </c>
      <c r="D11" s="12" t="n">
        <v>144000</v>
      </c>
    </row>
    <row r="12">
      <c r="A12" s="4" t="inlineStr">
        <is>
          <t>护理费总额</t>
        </is>
      </c>
      <c r="B12" s="12" t="n">
        <v>625200</v>
      </c>
      <c r="C12" s="4" t="inlineStr">
        <is>
          <t>供暖补贴</t>
        </is>
      </c>
      <c r="D12" s="12" t="n">
        <v>20000</v>
      </c>
    </row>
    <row r="13">
      <c r="A13" s="4" t="inlineStr">
        <is>
          <t>补贴等其他</t>
        </is>
      </c>
      <c r="B13" s="12" t="n">
        <v>0</v>
      </c>
      <c r="C13" s="4" t="inlineStr"/>
      <c r="D13" s="12" t="inlineStr"/>
    </row>
    <row r="15">
      <c r="A15" s="5" t="inlineStr">
        <is>
          <t>💸 月度支出（每月填）</t>
        </is>
      </c>
    </row>
    <row r="16">
      <c r="A16" s="11" t="inlineStr">
        <is>
          <t>支出项</t>
        </is>
      </c>
      <c r="B16" s="11" t="inlineStr">
        <is>
          <t>金额</t>
        </is>
      </c>
      <c r="C16" s="11" t="inlineStr">
        <is>
          <t>支出项</t>
        </is>
      </c>
      <c r="D16" s="11" t="inlineStr">
        <is>
          <t>金额</t>
        </is>
      </c>
    </row>
    <row r="17">
      <c r="A17" s="4" t="inlineStr">
        <is>
          <t>房租</t>
        </is>
      </c>
      <c r="B17" s="12" t="n">
        <v>5000</v>
      </c>
      <c r="C17" s="4" t="inlineStr">
        <is>
          <t>水电</t>
        </is>
      </c>
      <c r="D17" s="12" t="n">
        <v>5000</v>
      </c>
    </row>
    <row r="18">
      <c r="A18" s="4" t="inlineStr">
        <is>
          <t>工资（全员）</t>
        </is>
      </c>
      <c r="B18" s="12" t="n">
        <v>70000</v>
      </c>
      <c r="C18" s="4" t="inlineStr">
        <is>
          <t>食堂食材</t>
        </is>
      </c>
      <c r="D18" s="12" t="n">
        <v>8000</v>
      </c>
    </row>
    <row r="19">
      <c r="A19" s="4" t="inlineStr">
        <is>
          <t>床品等物资</t>
        </is>
      </c>
      <c r="B19" s="12" t="n">
        <v>833</v>
      </c>
      <c r="C19" s="4" t="inlineStr">
        <is>
          <t>其他支出</t>
        </is>
      </c>
      <c r="D19" s="12" t="n">
        <v>0</v>
      </c>
    </row>
  </sheetData>
  <mergeCells count="4">
    <mergeCell ref="A1:D1"/>
    <mergeCell ref="A9:D9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 ht="36" customHeight="1">
      <c r="A1" s="1" t="inlineStr">
        <is>
          <t>公式原理（为什么这样算）</t>
        </is>
      </c>
    </row>
    <row r="2">
      <c r="A2" s="11" t="inlineStr">
        <is>
          <t>公式</t>
        </is>
      </c>
      <c r="B2" s="11" t="inlineStr">
        <is>
          <t>为什么这样算</t>
        </is>
      </c>
      <c r="C2" s="11" t="inlineStr">
        <is>
          <t>生活类比</t>
        </is>
      </c>
    </row>
    <row r="3" ht="45" customHeight="1">
      <c r="A3" s="6" t="inlineStr">
        <is>
          <t>单床成本 = 月总支出 ÷ 总床数</t>
        </is>
      </c>
      <c r="B3" s="8" t="inlineStr">
        <is>
          <t>160 张床共同承担月支出，平均每张床分摊</t>
        </is>
      </c>
      <c r="C3" s="8" t="inlineStr">
        <is>
          <t>160 人合租 1 栋楼，月租 90 万，每人分摊 555 元</t>
        </is>
      </c>
    </row>
    <row r="4" ht="45" customHeight="1">
      <c r="A4" s="6" t="inlineStr">
        <is>
          <t>分级综合收入 = 床位费 + 餐费 + 护理费</t>
        </is>
      </c>
      <c r="B4" s="8" t="inlineStr">
        <is>
          <t>按难度系数区分定价，护理员工时差异决定价格差异</t>
        </is>
      </c>
      <c r="C4" s="8" t="inlineStr">
        <is>
          <t>酒店单人间/大床房/套房/总统套房 4 档</t>
        </is>
      </c>
    </row>
    <row r="5" ht="45" customHeight="1">
      <c r="A5" s="6" t="inlineStr">
        <is>
          <t>利润床位比例 = 高/中/低利润床结构</t>
        </is>
      </c>
      <c r="B5" s="8" t="inlineStr">
        <is>
          <t>高利润床拉高整体利润，低利润床保证入住率</t>
        </is>
      </c>
      <c r="C5" s="8" t="inlineStr">
        <is>
          <t>电商爆款引流 + 利润款赚钱</t>
        </is>
      </c>
    </row>
    <row r="6" ht="45" customHeight="1">
      <c r="A6" s="6" t="inlineStr">
        <is>
          <t>工资占比 = 月工资 ÷ 月总收入</t>
        </is>
      </c>
      <c r="B6" s="8" t="inlineStr">
        <is>
          <t>工资是变动成本最大项，占比决定利润率</t>
        </is>
      </c>
      <c r="C6" s="8" t="inlineStr">
        <is>
          <t>餐饮店房租不能超过营收 20%</t>
        </is>
      </c>
    </row>
    <row r="7" ht="45" customHeight="1">
      <c r="A7" s="6" t="inlineStr">
        <is>
          <t>单老人日工时 = 基础 1.0h + 等级加成</t>
        </is>
      </c>
      <c r="B7" s="8" t="inlineStr">
        <is>
          <t>护理员 8h/天，按等级照护不同数量老人</t>
        </is>
      </c>
      <c r="C7" s="8" t="inlineStr">
        <is>
          <t>1 个老师 8 节课，可教 8/4/2.7/2 个班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1" t="inlineStr">
        <is>
          <t>V02 数据核查清单（异常项）</t>
        </is>
      </c>
    </row>
    <row r="2">
      <c r="A2" s="11" t="inlineStr">
        <is>
          <t>#</t>
        </is>
      </c>
      <c r="B2" s="11" t="inlineStr">
        <is>
          <t>异常项</t>
        </is>
      </c>
      <c r="C2" s="11" t="inlineStr">
        <is>
          <t>当前数据</t>
        </is>
      </c>
      <c r="D2" s="11" t="inlineStr">
        <is>
          <t>建议核查</t>
        </is>
      </c>
      <c r="E2" s="11" t="inlineStr">
        <is>
          <t>紧急度</t>
        </is>
      </c>
    </row>
    <row r="3" ht="40" customHeight="1">
      <c r="A3" s="4" t="n">
        <v>1</v>
      </c>
      <c r="B3" s="27" t="inlineStr">
        <is>
          <t>工资严重漏算</t>
        </is>
      </c>
      <c r="C3" s="26" t="inlineStr">
        <is>
          <t>7 万/月 ÷ 160 床 = 437 元/床，正常应 1800-3000 元/床</t>
        </is>
      </c>
      <c r="D3" s="29" t="inlineStr">
        <is>
          <t>列出全员工资表（含基本+绩效+补贴+社保）</t>
        </is>
      </c>
      <c r="E3" s="10" t="inlineStr">
        <is>
          <t>🔴 紧急</t>
        </is>
      </c>
    </row>
    <row r="4" ht="40" customHeight="1">
      <c r="A4" s="4" t="n">
        <v>2</v>
      </c>
      <c r="B4" s="27" t="inlineStr">
        <is>
          <t>食材标准偏低</t>
        </is>
      </c>
      <c r="C4" s="26" t="inlineStr">
        <is>
          <t>8000 ÷ 160 人 ÷ 30 天 = 1.7 元/餐，行业 50 元/天</t>
        </is>
      </c>
      <c r="D4" s="29" t="inlineStr">
        <is>
          <t>按 50 元/天 × 160 人 × 30 天 = 24 万</t>
        </is>
      </c>
      <c r="E4" s="10" t="inlineStr">
        <is>
          <t>🔴 紧急</t>
        </is>
      </c>
    </row>
    <row r="5" ht="40" customHeight="1">
      <c r="A5" s="4" t="n">
        <v>3</v>
      </c>
      <c r="B5" s="27" t="inlineStr">
        <is>
          <t>后厨工资漏算</t>
        </is>
      </c>
      <c r="C5" s="26" t="inlineStr">
        <is>
          <t>项目无后厨工资</t>
        </is>
      </c>
      <c r="D5" s="29" t="inlineStr">
        <is>
          <t>建议配 5-6 后厨 × 6000 = 3-3.6 万</t>
        </is>
      </c>
      <c r="E5" s="10" t="inlineStr">
        <is>
          <t>🔴 紧急</t>
        </is>
      </c>
    </row>
    <row r="6" ht="40" customHeight="1">
      <c r="A6" s="4" t="n">
        <v>4</v>
      </c>
      <c r="B6" s="27" t="inlineStr">
        <is>
          <t>护理员工资可能漏算</t>
        </is>
      </c>
      <c r="C6" s="26" t="inlineStr">
        <is>
          <t>60 个护理员 × 6000 = 36 万</t>
        </is>
      </c>
      <c r="D6" s="29" t="inlineStr">
        <is>
          <t>可能仅报了部分管理层工资</t>
        </is>
      </c>
      <c r="E6" s="10" t="inlineStr">
        <is>
          <t>🔴 紧急</t>
        </is>
      </c>
    </row>
    <row r="7" ht="40" customHeight="1">
      <c r="A7" s="4" t="n">
        <v>5</v>
      </c>
      <c r="B7" s="27" t="inlineStr">
        <is>
          <t>水电 5000 偏低</t>
        </is>
      </c>
      <c r="C7" s="26" t="inlineStr">
        <is>
          <t>160 张床 31 元/床/月</t>
        </is>
      </c>
      <c r="D7" s="29" t="inlineStr">
        <is>
          <t>核查冬季供暖、空调是否漏算</t>
        </is>
      </c>
      <c r="E7" s="9" t="inlineStr">
        <is>
          <t>🟡 重要</t>
        </is>
      </c>
    </row>
    <row r="8" ht="40" customHeight="1">
      <c r="A8" s="4" t="n">
        <v>6</v>
      </c>
      <c r="B8" s="27" t="inlineStr">
        <is>
          <t>床位结构失衡</t>
        </is>
      </c>
      <c r="C8" s="26" t="inlineStr">
        <is>
          <t>自理 62.5% 严重超标</t>
        </is>
      </c>
      <c r="D8" s="29" t="inlineStr">
        <is>
          <t>扩护理区或减自理床</t>
        </is>
      </c>
      <c r="E8" s="9" t="inlineStr">
        <is>
          <t>🟡 重要</t>
        </is>
      </c>
    </row>
    <row r="9" ht="40" customHeight="1">
      <c r="A9" s="4" t="n">
        <v>7</v>
      </c>
      <c r="B9" s="27" t="inlineStr">
        <is>
          <t>利润 92% 异常高</t>
        </is>
      </c>
      <c r="C9" s="26" t="inlineStr">
        <is>
          <t>100% 入住 + 极低工资导致</t>
        </is>
      </c>
      <c r="D9" s="29" t="inlineStr">
        <is>
          <t>真实利润需补齐工资后重算</t>
        </is>
      </c>
      <c r="E9" s="9" t="inlineStr">
        <is>
          <t>🟡 重要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22" customWidth="1" min="5" max="5"/>
  </cols>
  <sheetData>
    <row r="1" ht="36" customHeight="1">
      <c r="A1" s="1" t="inlineStr">
        <is>
          <t>月度核算日历（每月固定执行）</t>
        </is>
      </c>
    </row>
    <row r="2">
      <c r="A2" s="11" t="inlineStr">
        <is>
          <t>日期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用时</t>
        </is>
      </c>
      <c r="E2" s="11" t="inlineStr">
        <is>
          <t>产出</t>
        </is>
      </c>
    </row>
    <row r="3">
      <c r="A3" s="4" t="inlineStr">
        <is>
          <t>每月 1 日</t>
        </is>
      </c>
      <c r="B3" s="8" t="inlineStr">
        <is>
          <t>录入上月数据到模板</t>
        </is>
      </c>
      <c r="C3" s="15" t="inlineStr">
        <is>
          <t>院长+财务</t>
        </is>
      </c>
      <c r="D3" s="15" t="inlineStr">
        <is>
          <t>1h</t>
        </is>
      </c>
      <c r="E3" s="8" t="inlineStr">
        <is>
          <t>数据录入模板填好</t>
        </is>
      </c>
    </row>
    <row r="4">
      <c r="A4" s="4" t="inlineStr">
        <is>
          <t>每月 2 日</t>
        </is>
      </c>
      <c r="B4" s="8" t="inlineStr">
        <is>
          <t>核算上月单床成本</t>
        </is>
      </c>
      <c r="C4" s="15" t="inlineStr">
        <is>
          <t>院长</t>
        </is>
      </c>
      <c r="D4" s="15" t="inlineStr">
        <is>
          <t>30min</t>
        </is>
      </c>
      <c r="E4" s="8" t="inlineStr">
        <is>
          <t>单床成本数</t>
        </is>
      </c>
    </row>
    <row r="5">
      <c r="A5" s="4" t="inlineStr">
        <is>
          <t>每月 3 日</t>
        </is>
      </c>
      <c r="B5" s="8" t="inlineStr">
        <is>
          <t>核算上月利润</t>
        </is>
      </c>
      <c r="C5" s="15" t="inlineStr">
        <is>
          <t>院长</t>
        </is>
      </c>
      <c r="D5" s="15" t="inlineStr">
        <is>
          <t>30min</t>
        </is>
      </c>
      <c r="E5" s="8" t="inlineStr">
        <is>
          <t>月利润数</t>
        </is>
      </c>
    </row>
    <row r="6">
      <c r="A6" s="4" t="inlineStr">
        <is>
          <t>每月 4 日</t>
        </is>
      </c>
      <c r="B6" s="8" t="inlineStr">
        <is>
          <t>跟护理主任讨论异常项</t>
        </is>
      </c>
      <c r="C6" s="15" t="inlineStr">
        <is>
          <t>院长+护理主任</t>
        </is>
      </c>
      <c r="D6" s="15" t="inlineStr">
        <is>
          <t>1h</t>
        </is>
      </c>
      <c r="E6" s="8" t="inlineStr">
        <is>
          <t>异常清单</t>
        </is>
      </c>
    </row>
    <row r="7">
      <c r="A7" s="4" t="inlineStr">
        <is>
          <t>每月 5 日</t>
        </is>
      </c>
      <c r="B7" s="8" t="inlineStr">
        <is>
          <t>更新定价（如需）</t>
        </is>
      </c>
      <c r="C7" s="15" t="inlineStr">
        <is>
          <t>院长</t>
        </is>
      </c>
      <c r="D7" s="15" t="inlineStr">
        <is>
          <t>30min</t>
        </is>
      </c>
      <c r="E7" s="8" t="inlineStr">
        <is>
          <t>新定价</t>
        </is>
      </c>
    </row>
    <row r="8">
      <c r="A8" s="4" t="inlineStr">
        <is>
          <t>每月 10 日</t>
        </is>
      </c>
      <c r="B8" s="8" t="inlineStr">
        <is>
          <t>团队会议公布上月数据</t>
        </is>
      </c>
      <c r="C8" s="15" t="inlineStr">
        <is>
          <t>院长</t>
        </is>
      </c>
      <c r="D8" s="15" t="inlineStr">
        <is>
          <t>30min</t>
        </is>
      </c>
      <c r="E8" s="8" t="inlineStr">
        <is>
          <t>团队知情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2026-09-14T09:49:36Z</dcterms:created>
  <dcterms:modified xmlns:dcterms="http://purl.org/dc/terms/" xmlns:xsi="http://www.w3.org/2001/XMLSchema-instance" xsi:type="dcterms:W3CDTF">2026-09-14T09:49:36Z</dcterms:modified>
</cp:coreProperties>
</file>