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总览" sheetId="1" state="visible" r:id="rId1"/>
    <sheet xmlns:r="http://schemas.openxmlformats.org/officeDocument/2006/relationships" name="🛏 单床成本核算" sheetId="2" state="visible" r:id="rId2"/>
    <sheet xmlns:r="http://schemas.openxmlformats.org/officeDocument/2006/relationships" name="💰 月度收支核算" sheetId="3" state="visible" r:id="rId3"/>
    <sheet xmlns:r="http://schemas.openxmlformats.org/officeDocument/2006/relationships" name="⚖️ 分级别定价" sheetId="4" state="visible" r:id="rId4"/>
    <sheet xmlns:r="http://schemas.openxmlformats.org/officeDocument/2006/relationships" name="📊 利润床位比例" sheetId="5" state="visible" r:id="rId5"/>
    <sheet xmlns:r="http://schemas.openxmlformats.org/officeDocument/2006/relationships" name="👥 护理工时核算" sheetId="6" state="visible" r:id="rId6"/>
    <sheet xmlns:r="http://schemas.openxmlformats.org/officeDocument/2006/relationships" name="📉 工资占比优化" sheetId="7" state="visible" r:id="rId7"/>
    <sheet xmlns:r="http://schemas.openxmlformats.org/officeDocument/2006/relationships" name="🍳 食堂成本拆分" sheetId="8" state="visible" r:id="rId8"/>
    <sheet xmlns:r="http://schemas.openxmlformats.org/officeDocument/2006/relationships" name="🎯 扭亏为盈方案" sheetId="9" state="visible" r:id="rId9"/>
    <sheet xmlns:r="http://schemas.openxmlformats.org/officeDocument/2006/relationships" name="📋 数据录入模板" sheetId="10" state="visible" r:id="rId10"/>
    <sheet xmlns:r="http://schemas.openxmlformats.org/officeDocument/2006/relationships" name="📖 公式原理" sheetId="11" state="visible" r:id="rId11"/>
    <sheet xmlns:r="http://schemas.openxmlformats.org/officeDocument/2006/relationships" name="⚠️ 5大常见错" sheetId="12" state="visible" r:id="rId12"/>
    <sheet xmlns:r="http://schemas.openxmlformats.org/officeDocument/2006/relationships" name="📅 月度核算日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b val="1"/>
      <color rgb="00FFFFFF"/>
      <sz val="14"/>
    </font>
    <font>
      <name val="微软雅黑"/>
      <b val="1"/>
      <color rgb="001F4E78"/>
      <sz val="10"/>
    </font>
    <font>
      <name val="微软雅黑"/>
      <b val="1"/>
      <color rgb="00FFFFFF"/>
      <sz val="12"/>
    </font>
    <font>
      <name val="微软雅黑"/>
      <b val="1"/>
      <color rgb="00C00000"/>
      <sz val="11"/>
    </font>
    <font>
      <name val="微软雅黑"/>
      <sz val="10"/>
    </font>
    <font>
      <name val="微软雅黑"/>
      <b val="1"/>
      <color rgb="00C00000"/>
      <sz val="12"/>
    </font>
    <font>
      <name val="微软雅黑"/>
      <color rgb="000070C0"/>
      <sz val="10"/>
    </font>
    <font>
      <name val="微软雅黑"/>
      <i val="1"/>
      <color rgb="00C00000"/>
      <sz val="10"/>
    </font>
    <font>
      <name val="微软雅黑"/>
      <b val="1"/>
      <color rgb="00006100"/>
      <sz val="14"/>
    </font>
    <font>
      <name val="微软雅黑"/>
      <b val="1"/>
      <color rgb="009C0006"/>
      <sz val="14"/>
    </font>
    <font>
      <name val="微软雅黑"/>
      <b val="1"/>
      <color rgb="00006100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5B9BD5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2" customWidth="1" min="4" max="4"/>
  </cols>
  <sheetData>
    <row r="1" ht="36" customHeight="1">
      <c r="A1" s="1" t="inlineStr">
        <is>
          <t>养老院成本核算总览（基于刘院长院真实数据）</t>
        </is>
      </c>
    </row>
    <row r="2" ht="22" customHeight="1">
      <c r="A2" s="2" t="inlineStr">
        <is>
          <t>🏢 院基本信息</t>
        </is>
      </c>
    </row>
    <row r="3">
      <c r="A3" s="3" t="inlineStr"/>
      <c r="B3" s="4" t="inlineStr">
        <is>
          <t>院名</t>
        </is>
      </c>
      <c r="C3" s="3" t="inlineStr">
        <is>
          <t>__________ 养老院</t>
        </is>
      </c>
      <c r="D3" s="3" t="inlineStr"/>
    </row>
    <row r="4">
      <c r="A4" s="3" t="inlineStr"/>
      <c r="B4" s="4" t="inlineStr">
        <is>
          <t>床位数</t>
        </is>
      </c>
      <c r="C4" s="3" t="inlineStr">
        <is>
          <t>12 张（二楼+三楼）</t>
        </is>
      </c>
      <c r="D4" s="3" t="inlineStr"/>
    </row>
    <row r="5">
      <c r="A5" s="3" t="inlineStr"/>
      <c r="B5" s="4" t="inlineStr">
        <is>
          <t>录音时间</t>
        </is>
      </c>
      <c r="C5" s="3" t="inlineStr">
        <is>
          <t>2026-09-10（最后一次核算）</t>
        </is>
      </c>
      <c r="D5" s="3" t="inlineStr"/>
    </row>
    <row r="6">
      <c r="A6" s="3" t="inlineStr"/>
      <c r="B6" s="4" t="inlineStr">
        <is>
          <t>核心结论</t>
        </is>
      </c>
      <c r="C6" s="3" t="inlineStr">
        <is>
          <t>⚠️ 当前月亏 3.7 万，必须调整定价</t>
        </is>
      </c>
      <c r="D6" s="3" t="inlineStr"/>
    </row>
    <row r="8" ht="22" customHeight="1">
      <c r="A8" s="2" t="inlineStr">
        <is>
          <t>📈 核心结论速览（4 条）</t>
        </is>
      </c>
    </row>
    <row r="9">
      <c r="A9" s="5" t="inlineStr">
        <is>
          <t>结论</t>
        </is>
      </c>
      <c r="B9" s="5" t="inlineStr">
        <is>
          <t>数据</t>
        </is>
      </c>
      <c r="C9" s="5" t="inlineStr">
        <is>
          <t>建议动作</t>
        </is>
      </c>
      <c r="D9" s="5" t="inlineStr">
        <is>
          <t>依据</t>
        </is>
      </c>
    </row>
    <row r="10">
      <c r="A10" s="6" t="inlineStr">
        <is>
          <t>❌ 当前月亏损</t>
        </is>
      </c>
      <c r="B10" s="7" t="inlineStr">
        <is>
          <t>-37,173 元/月（亏损率 -77.2%）</t>
        </is>
      </c>
      <c r="C10" s="8" t="inlineStr">
        <is>
          <t>床位费定价过低，工资占比过高</t>
        </is>
      </c>
      <c r="D10" s="8" t="inlineStr">
        <is>
          <t>详见其他 Sheet</t>
        </is>
      </c>
    </row>
    <row r="11">
      <c r="A11" s="6" t="inlineStr">
        <is>
          <t>❌ 单床成本</t>
        </is>
      </c>
      <c r="B11" s="7" t="inlineStr">
        <is>
          <t>7,111 元/月</t>
        </is>
      </c>
      <c r="C11" s="8" t="inlineStr">
        <is>
          <t>实际成本=月总支出 85,333 / 12张床</t>
        </is>
      </c>
      <c r="D11" s="8" t="inlineStr">
        <is>
          <t>详见其他 Sheet</t>
        </is>
      </c>
    </row>
    <row r="12">
      <c r="A12" s="6" t="inlineStr">
        <is>
          <t>✅ 床位费建议</t>
        </is>
      </c>
      <c r="B12" s="7" t="inlineStr">
        <is>
          <t>≥ 2,500 元/月（至少翻倍）</t>
        </is>
      </c>
      <c r="C12" s="8" t="inlineStr">
        <is>
          <t>当前 1,200 元只覆盖房租+水电 14%</t>
        </is>
      </c>
      <c r="D12" s="8" t="inlineStr">
        <is>
          <t>详见其他 Sheet</t>
        </is>
      </c>
    </row>
    <row r="13">
      <c r="A13" s="6" t="inlineStr">
        <is>
          <t>✅ 工资占比</t>
        </is>
      </c>
      <c r="B13" s="7" t="inlineStr">
        <is>
          <t>应控制在 50-55%</t>
        </is>
      </c>
      <c r="C13" s="8" t="inlineStr">
        <is>
          <t>当前 76% 严重超标</t>
        </is>
      </c>
      <c r="D13" s="8" t="inlineStr">
        <is>
          <t>详见其他 Sheet</t>
        </is>
      </c>
    </row>
    <row r="14">
      <c r="A14" s="6" t="inlineStr">
        <is>
          <t>✅ 利润床位</t>
        </is>
      </c>
      <c r="B14" s="7" t="inlineStr">
        <is>
          <t>高利润床 ≥ 30%</t>
        </is>
      </c>
      <c r="C14" s="8" t="inlineStr">
        <is>
          <t>当前特护 1/12=8%，需扩护理区</t>
        </is>
      </c>
      <c r="D14" s="8" t="inlineStr">
        <is>
          <t>详见其他 Sheet</t>
        </is>
      </c>
    </row>
    <row r="15">
      <c r="A15" s="6" t="inlineStr">
        <is>
          <t>✅ 关键动作</t>
        </is>
      </c>
      <c r="B15" s="7" t="inlineStr">
        <is>
          <t>①改定价 ②收特护 ③核减工资</t>
        </is>
      </c>
      <c r="C15" s="8" t="inlineStr">
        <is>
          <t>按本表执行 1 个月扭亏为盈</t>
        </is>
      </c>
      <c r="D15" s="8" t="inlineStr">
        <is>
          <t>详见其他 Sheet</t>
        </is>
      </c>
    </row>
    <row r="17" ht="22" customHeight="1">
      <c r="A17" s="2" t="inlineStr">
        <is>
          <t>📑 13 个 Sheet 一览</t>
        </is>
      </c>
    </row>
    <row r="18">
      <c r="A18" s="5" t="inlineStr">
        <is>
          <t>Sheet</t>
        </is>
      </c>
      <c r="B18" s="5" t="inlineStr">
        <is>
          <t>用途</t>
        </is>
      </c>
      <c r="C18" s="5" t="inlineStr">
        <is>
          <t>谁用</t>
        </is>
      </c>
      <c r="D18" s="5" t="inlineStr">
        <is>
          <t>频次</t>
        </is>
      </c>
    </row>
    <row r="19">
      <c r="A19" s="4" t="inlineStr">
        <is>
          <t>📊 总览</t>
        </is>
      </c>
      <c r="B19" s="8" t="inlineStr">
        <is>
          <t>全局速览</t>
        </is>
      </c>
      <c r="C19" s="9" t="inlineStr">
        <is>
          <t>院长</t>
        </is>
      </c>
      <c r="D19" s="9" t="inlineStr">
        <is>
          <t>月</t>
        </is>
      </c>
    </row>
    <row r="20">
      <c r="A20" s="4" t="inlineStr">
        <is>
          <t>🛏 单床成本核算</t>
        </is>
      </c>
      <c r="B20" s="8" t="inlineStr">
        <is>
          <t>单床成本公式</t>
        </is>
      </c>
      <c r="C20" s="9" t="inlineStr">
        <is>
          <t>院长</t>
        </is>
      </c>
      <c r="D20" s="9" t="inlineStr">
        <is>
          <t>月</t>
        </is>
      </c>
    </row>
    <row r="21">
      <c r="A21" s="4" t="inlineStr">
        <is>
          <t>💰 月度收支核算</t>
        </is>
      </c>
      <c r="B21" s="8" t="inlineStr">
        <is>
          <t>月度收入/支出明细</t>
        </is>
      </c>
      <c r="C21" s="9" t="inlineStr">
        <is>
          <t>院长</t>
        </is>
      </c>
      <c r="D21" s="9" t="inlineStr">
        <is>
          <t>月</t>
        </is>
      </c>
    </row>
    <row r="22">
      <c r="A22" s="4" t="inlineStr">
        <is>
          <t>⚖️ 分级别定价</t>
        </is>
      </c>
      <c r="B22" s="8" t="inlineStr">
        <is>
          <t>自理/半护/全护/特护定价</t>
        </is>
      </c>
      <c r="C22" s="9" t="inlineStr">
        <is>
          <t>院长</t>
        </is>
      </c>
      <c r="D22" s="9" t="inlineStr">
        <is>
          <t>季</t>
        </is>
      </c>
    </row>
    <row r="23">
      <c r="A23" s="4" t="inlineStr">
        <is>
          <t>📊 利润床位比例</t>
        </is>
      </c>
      <c r="B23" s="8" t="inlineStr">
        <is>
          <t>高/中/低利润比例测算</t>
        </is>
      </c>
      <c r="C23" s="9" t="inlineStr">
        <is>
          <t>院长</t>
        </is>
      </c>
      <c r="D23" s="9" t="inlineStr">
        <is>
          <t>月</t>
        </is>
      </c>
    </row>
    <row r="24">
      <c r="A24" s="4" t="inlineStr">
        <is>
          <t>👥 护理工时核算</t>
        </is>
      </c>
      <c r="B24" s="8" t="inlineStr">
        <is>
          <t>不同级别护理员配比</t>
        </is>
      </c>
      <c r="C24" s="9" t="inlineStr">
        <is>
          <t>护理主任</t>
        </is>
      </c>
      <c r="D24" s="9" t="inlineStr">
        <is>
          <t>月</t>
        </is>
      </c>
    </row>
    <row r="25">
      <c r="A25" s="4" t="inlineStr">
        <is>
          <t>📉 工资占比优化</t>
        </is>
      </c>
      <c r="B25" s="8" t="inlineStr">
        <is>
          <t>工资占总收入比</t>
        </is>
      </c>
      <c r="C25" s="9" t="inlineStr">
        <is>
          <t>院长</t>
        </is>
      </c>
      <c r="D25" s="9" t="inlineStr">
        <is>
          <t>月</t>
        </is>
      </c>
    </row>
    <row r="26">
      <c r="A26" s="4" t="inlineStr">
        <is>
          <t>🍳 食堂成本拆分</t>
        </is>
      </c>
      <c r="B26" s="8" t="inlineStr">
        <is>
          <t>餐费+后厨工资</t>
        </is>
      </c>
      <c r="C26" s="9" t="inlineStr">
        <is>
          <t>院长</t>
        </is>
      </c>
      <c r="D26" s="9" t="inlineStr">
        <is>
          <t>月</t>
        </is>
      </c>
    </row>
    <row r="27">
      <c r="A27" s="4" t="inlineStr">
        <is>
          <t>🎯 扭亏为盈方案</t>
        </is>
      </c>
      <c r="B27" s="8" t="inlineStr">
        <is>
          <t>7步扭亏动作清单</t>
        </is>
      </c>
      <c r="C27" s="9" t="inlineStr">
        <is>
          <t>院长</t>
        </is>
      </c>
      <c r="D27" s="9" t="inlineStr">
        <is>
          <t>月</t>
        </is>
      </c>
    </row>
    <row r="28">
      <c r="A28" s="4" t="inlineStr">
        <is>
          <t>📋 数据录入模板</t>
        </is>
      </c>
      <c r="B28" s="8" t="inlineStr">
        <is>
          <t>可复制粘贴使用</t>
        </is>
      </c>
      <c r="C28" s="9" t="inlineStr">
        <is>
          <t>院长</t>
        </is>
      </c>
      <c r="D28" s="9" t="inlineStr">
        <is>
          <t>月</t>
        </is>
      </c>
    </row>
    <row r="29">
      <c r="A29" s="4" t="inlineStr">
        <is>
          <t>📖 公式原理</t>
        </is>
      </c>
      <c r="B29" s="8" t="inlineStr">
        <is>
          <t>为什么这样算</t>
        </is>
      </c>
      <c r="C29" s="9" t="inlineStr">
        <is>
          <t>院长</t>
        </is>
      </c>
      <c r="D29" s="9" t="inlineStr">
        <is>
          <t>首次</t>
        </is>
      </c>
    </row>
    <row r="30">
      <c r="A30" s="4" t="inlineStr">
        <is>
          <t>⚠️ 5大常见错</t>
        </is>
      </c>
      <c r="B30" s="8" t="inlineStr">
        <is>
          <t>核算易错点</t>
        </is>
      </c>
      <c r="C30" s="9" t="inlineStr">
        <is>
          <t>院长</t>
        </is>
      </c>
      <c r="D30" s="9" t="inlineStr">
        <is>
          <t>首次</t>
        </is>
      </c>
    </row>
    <row r="31">
      <c r="A31" s="4" t="inlineStr">
        <is>
          <t>📅 月度核算日历</t>
        </is>
      </c>
      <c r="B31" s="8" t="inlineStr">
        <is>
          <t>每月固定核算时间</t>
        </is>
      </c>
      <c r="C31" s="9" t="inlineStr">
        <is>
          <t>院长</t>
        </is>
      </c>
      <c r="D31" s="9" t="inlineStr">
        <is>
          <t>月</t>
        </is>
      </c>
    </row>
  </sheetData>
  <mergeCells count="4">
    <mergeCell ref="A1:D1"/>
    <mergeCell ref="A17:D17"/>
    <mergeCell ref="A8:D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 ht="36" customHeight="1">
      <c r="A1" s="1" t="inlineStr">
        <is>
          <t>单床位成本核算（核心公式）</t>
        </is>
      </c>
    </row>
    <row r="2" ht="22" customHeight="1">
      <c r="A2" s="2" t="inlineStr">
        <is>
          <t>💡 核心公式（3 秒学会）</t>
        </is>
      </c>
    </row>
    <row r="3" ht="30" customHeight="1">
      <c r="A3" s="7" t="inlineStr">
        <is>
          <t>单床成本 = 月总支出 ÷ 总床位数</t>
        </is>
      </c>
    </row>
    <row r="4" ht="26" customHeight="1">
      <c r="A4" s="10" t="inlineStr">
        <is>
          <t>刘院长院：85,333 ÷ 12 = 7,111 元/月/床</t>
        </is>
      </c>
    </row>
    <row r="6" ht="22" customHeight="1">
      <c r="A6" s="2" t="inlineStr">
        <is>
          <t>📋 详细计算（基于刘院长真实数据）</t>
        </is>
      </c>
    </row>
    <row r="7">
      <c r="A7" s="5" t="inlineStr">
        <is>
          <t>支出项</t>
        </is>
      </c>
      <c r="B7" s="5" t="inlineStr">
        <is>
          <t>金额(元/月)</t>
        </is>
      </c>
      <c r="C7" s="5" t="inlineStr">
        <is>
          <t>占支出%</t>
        </is>
      </c>
      <c r="D7" s="5" t="inlineStr">
        <is>
          <t>归类</t>
        </is>
      </c>
      <c r="E7" s="5" t="inlineStr">
        <is>
          <t>备注</t>
        </is>
      </c>
    </row>
    <row r="8">
      <c r="A8" s="6" t="inlineStr">
        <is>
          <t>房租</t>
        </is>
      </c>
      <c r="B8" s="11" t="n">
        <v>5000</v>
      </c>
      <c r="C8" s="12">
        <f>B8/B14</f>
        <v/>
      </c>
      <c r="D8" s="9" t="inlineStr">
        <is>
          <t>固定</t>
        </is>
      </c>
      <c r="E8" s="8" t="inlineStr">
        <is>
          <t>固定支出，与床位数无关</t>
        </is>
      </c>
    </row>
    <row r="9">
      <c r="A9" s="6" t="inlineStr">
        <is>
          <t>水电</t>
        </is>
      </c>
      <c r="B9" s="11" t="n">
        <v>5000</v>
      </c>
      <c r="C9" s="12">
        <f>B9/B14</f>
        <v/>
      </c>
      <c r="D9" s="9" t="inlineStr">
        <is>
          <t>固定</t>
        </is>
      </c>
      <c r="E9" s="8" t="inlineStr">
        <is>
          <t>固定支出，与床位数弱相关</t>
        </is>
      </c>
    </row>
    <row r="10">
      <c r="A10" s="6" t="inlineStr">
        <is>
          <t>工资（全员）</t>
        </is>
      </c>
      <c r="B10" s="11" t="n">
        <v>65000</v>
      </c>
      <c r="C10" s="12">
        <f>B10/B14</f>
        <v/>
      </c>
      <c r="D10" s="9" t="inlineStr">
        <is>
          <t>变动</t>
        </is>
      </c>
      <c r="E10" s="8" t="inlineStr">
        <is>
          <t>变动支出，主要成本项</t>
        </is>
      </c>
    </row>
    <row r="11">
      <c r="A11" s="6" t="inlineStr">
        <is>
          <t>食堂食材</t>
        </is>
      </c>
      <c r="B11" s="11" t="n">
        <v>7500</v>
      </c>
      <c r="C11" s="12">
        <f>B11/B14</f>
        <v/>
      </c>
      <c r="D11" s="9" t="inlineStr">
        <is>
          <t>变动</t>
        </is>
      </c>
      <c r="E11" s="8" t="inlineStr">
        <is>
          <t>变动支出，按入院老人算</t>
        </is>
      </c>
    </row>
    <row r="12">
      <c r="A12" s="6" t="inlineStr">
        <is>
          <t>床品等物资</t>
        </is>
      </c>
      <c r="B12" s="11" t="n">
        <v>833</v>
      </c>
      <c r="C12" s="12">
        <f>B12/B14</f>
        <v/>
      </c>
      <c r="D12" s="9" t="inlineStr">
        <is>
          <t>固定</t>
        </is>
      </c>
      <c r="E12" s="8" t="inlineStr">
        <is>
          <t>固定支出，分摊</t>
        </is>
      </c>
    </row>
    <row r="13">
      <c r="A13" s="6" t="inlineStr">
        <is>
          <t>杂项</t>
        </is>
      </c>
      <c r="B13" s="11" t="n">
        <v>2000</v>
      </c>
      <c r="C13" s="12">
        <f>B13/B14</f>
        <v/>
      </c>
      <c r="D13" s="9" t="inlineStr">
        <is>
          <t>固定</t>
        </is>
      </c>
      <c r="E13" s="8" t="inlineStr">
        <is>
          <t>固定支出，预估</t>
        </is>
      </c>
    </row>
    <row r="14">
      <c r="A14" s="4" t="inlineStr">
        <is>
          <t>月总支出</t>
        </is>
      </c>
      <c r="B14" s="7">
        <f>SUM(B8:B13)</f>
        <v/>
      </c>
      <c r="C14" s="9" t="inlineStr">
        <is>
          <t>100%</t>
        </is>
      </c>
      <c r="D14" s="9" t="inlineStr">
        <is>
          <t>—</t>
        </is>
      </c>
      <c r="E14" s="12" t="inlineStr">
        <is>
          <t>自动求和</t>
        </is>
      </c>
    </row>
    <row r="16">
      <c r="A16" s="4" t="inlineStr">
        <is>
          <t>总床位数</t>
        </is>
      </c>
      <c r="B16" s="11" t="n">
        <v>12</v>
      </c>
    </row>
    <row r="17">
      <c r="A17" s="7" t="inlineStr">
        <is>
          <t>单床成本（元/月）</t>
        </is>
      </c>
      <c r="B17" s="13">
        <f>ROUND(B14/B16,0)</f>
        <v/>
      </c>
      <c r="C17" s="12">
        <f>单床成本</f>
        <v/>
      </c>
    </row>
    <row r="18">
      <c r="A18" s="7" t="inlineStr">
        <is>
          <t>单床成本（元/天）</t>
        </is>
      </c>
      <c r="B18" s="13">
        <f>ROUND(B17/30,0)</f>
        <v/>
      </c>
      <c r="C18" s="12" t="inlineStr">
        <is>
          <t>÷30天</t>
        </is>
      </c>
    </row>
    <row r="20" ht="22" customHeight="1">
      <c r="A20" s="2" t="inlineStr">
        <is>
          <t>✅ 验证：刘院长实际数据反推</t>
        </is>
      </c>
    </row>
    <row r="21">
      <c r="A21" s="8" t="inlineStr">
        <is>
          <t>6.5万工资 + 5000房租 + 5000水电 + 7500食材 + 833床品 + 2000杂项</t>
        </is>
      </c>
      <c r="B21" s="7">
        <f> 月支出 85,333 元</f>
        <v/>
      </c>
    </row>
    <row r="22">
      <c r="A22" s="8" t="inlineStr">
        <is>
          <t>85,333 ÷ 12 张 = 7,111 元/床/月</t>
        </is>
      </c>
      <c r="B22" s="7">
        <f> 单床成本</f>
        <v/>
      </c>
    </row>
    <row r="23">
      <c r="A23" s="8" t="inlineStr">
        <is>
          <t>床位费收 1,200 元/床/月</t>
        </is>
      </c>
      <c r="B23" s="7">
        <f> 单床亏 5,911 元/月</f>
        <v/>
      </c>
    </row>
    <row r="24">
      <c r="A24" s="8" t="inlineStr">
        <is>
          <t>护理费最高收 5,000 元/床/月</t>
        </is>
      </c>
      <c r="B24" s="7">
        <f> 单床亏 2,111 元/月（特护才刚保本）</f>
        <v/>
      </c>
    </row>
    <row r="25">
      <c r="A25" s="8" t="inlineStr">
        <is>
          <t>结论：当前定价覆盖不了成本</t>
        </is>
      </c>
      <c r="B25" s="7" t="inlineStr">
        <is>
          <t>→ 必须调整定价</t>
        </is>
      </c>
    </row>
  </sheetData>
  <mergeCells count="6">
    <mergeCell ref="A4:E4"/>
    <mergeCell ref="A20:E20"/>
    <mergeCell ref="A2:E2"/>
    <mergeCell ref="A1:E1"/>
    <mergeCell ref="A6:E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0" customWidth="1" min="4" max="4"/>
    <col width="25" customWidth="1" min="5" max="5"/>
  </cols>
  <sheetData>
    <row r="1" ht="36" customHeight="1">
      <c r="A1" s="1" t="inlineStr">
        <is>
          <t>月度收入 vs 支出（满床状态）</t>
        </is>
      </c>
    </row>
    <row r="2">
      <c r="A2" s="14" t="inlineStr">
        <is>
          <t>💰 月度收入（基于刘院长实际定价）</t>
        </is>
      </c>
    </row>
    <row r="3">
      <c r="A3" s="5" t="inlineStr">
        <is>
          <t>收入项</t>
        </is>
      </c>
      <c r="B3" s="5" t="inlineStr">
        <is>
          <t>单价</t>
        </is>
      </c>
      <c r="C3" s="5" t="inlineStr">
        <is>
          <t>数量</t>
        </is>
      </c>
      <c r="D3" s="5" t="inlineStr">
        <is>
          <t>金额</t>
        </is>
      </c>
      <c r="E3" s="5" t="inlineStr">
        <is>
          <t>说明</t>
        </is>
      </c>
    </row>
    <row r="4">
      <c r="A4" s="6" t="inlineStr">
        <is>
          <t>床位费</t>
        </is>
      </c>
      <c r="B4" s="11" t="n">
        <v>1200</v>
      </c>
      <c r="C4" s="11" t="n">
        <v>12</v>
      </c>
      <c r="D4" s="12">
        <f>B4*C4</f>
        <v/>
      </c>
      <c r="E4" s="8" t="inlineStr">
        <is>
          <t>全院 12 张床均收</t>
        </is>
      </c>
    </row>
    <row r="5">
      <c r="A5" s="6" t="inlineStr">
        <is>
          <t>餐费</t>
        </is>
      </c>
      <c r="B5" s="11" t="n">
        <v>900</v>
      </c>
      <c r="C5" s="11" t="n">
        <v>7</v>
      </c>
      <c r="D5" s="12">
        <f>B5*C5</f>
        <v/>
      </c>
      <c r="E5" s="8" t="inlineStr">
        <is>
          <t>仅 7 位入院老人吃饭</t>
        </is>
      </c>
    </row>
    <row r="6">
      <c r="A6" s="6" t="inlineStr">
        <is>
          <t>护理费（综合）</t>
        </is>
      </c>
      <c r="B6" s="11" t="n">
        <v>5000</v>
      </c>
      <c r="C6" s="11" t="n">
        <v>7</v>
      </c>
      <c r="D6" s="12">
        <f>B6*C6</f>
        <v/>
      </c>
      <c r="E6" s="8" t="inlineStr">
        <is>
          <t>平均 5000，混住</t>
        </is>
      </c>
    </row>
    <row r="7">
      <c r="A7" s="6" t="inlineStr">
        <is>
          <t>冬季供暖（分摊）</t>
        </is>
      </c>
      <c r="B7" s="11" t="n">
        <v>42</v>
      </c>
      <c r="C7" s="11" t="n">
        <v>12</v>
      </c>
      <c r="D7" s="12">
        <f>B7*C7</f>
        <v/>
      </c>
      <c r="E7" s="8" t="inlineStr">
        <is>
          <t>500 元/年 ÷ 12 月</t>
        </is>
      </c>
    </row>
    <row r="8">
      <c r="A8" s="13" t="inlineStr">
        <is>
          <t>月总收入</t>
        </is>
      </c>
      <c r="D8" s="13">
        <f>SUM(D4:D7)</f>
        <v/>
      </c>
    </row>
    <row r="10">
      <c r="A10" s="15" t="inlineStr">
        <is>
          <t>💸 月度支出（基于刘院长真实数据）</t>
        </is>
      </c>
    </row>
    <row r="11">
      <c r="A11" s="5" t="inlineStr">
        <is>
          <t>支出项</t>
        </is>
      </c>
      <c r="B11" s="5" t="inlineStr">
        <is>
          <t>金额</t>
        </is>
      </c>
      <c r="C11" s="5" t="inlineStr">
        <is>
          <t>类型</t>
        </is>
      </c>
      <c r="D11" s="5" t="inlineStr">
        <is>
          <t>占比</t>
        </is>
      </c>
      <c r="E11" s="5" t="inlineStr">
        <is>
          <t>说明</t>
        </is>
      </c>
    </row>
    <row r="12">
      <c r="A12" s="6" t="inlineStr">
        <is>
          <t>房租</t>
        </is>
      </c>
      <c r="B12" s="11" t="n">
        <v>5000</v>
      </c>
      <c r="C12" s="9" t="inlineStr">
        <is>
          <t>固定</t>
        </is>
      </c>
      <c r="D12" s="12">
        <f>B12/B18</f>
        <v/>
      </c>
      <c r="E12" s="8" t="inlineStr">
        <is>
          <t>租院 5000/月</t>
        </is>
      </c>
    </row>
    <row r="13">
      <c r="A13" s="6" t="inlineStr">
        <is>
          <t>水电</t>
        </is>
      </c>
      <c r="B13" s="11" t="n">
        <v>5000</v>
      </c>
      <c r="C13" s="9" t="inlineStr">
        <is>
          <t>固定</t>
        </is>
      </c>
      <c r="D13" s="12">
        <f>B13/B18</f>
        <v/>
      </c>
      <c r="E13" s="8" t="inlineStr">
        <is>
          <t>杂费合计 5000/月</t>
        </is>
      </c>
    </row>
    <row r="14">
      <c r="A14" s="6" t="inlineStr">
        <is>
          <t>工资（全员含后厨）</t>
        </is>
      </c>
      <c r="B14" s="11" t="n">
        <v>65000</v>
      </c>
      <c r="C14" s="9" t="inlineStr">
        <is>
          <t>变动</t>
        </is>
      </c>
      <c r="D14" s="12">
        <f>B14/B18</f>
        <v/>
      </c>
      <c r="E14" s="8" t="inlineStr">
        <is>
          <t>后厨2人+护理员+行政</t>
        </is>
      </c>
    </row>
    <row r="15">
      <c r="A15" s="6" t="inlineStr">
        <is>
          <t>食堂食材</t>
        </is>
      </c>
      <c r="B15" s="11" t="n">
        <v>7500</v>
      </c>
      <c r="C15" s="9" t="inlineStr">
        <is>
          <t>变动</t>
        </is>
      </c>
      <c r="D15" s="12">
        <f>B15/B18</f>
        <v/>
      </c>
      <c r="E15" s="8" t="inlineStr">
        <is>
          <t>肉禽蛋奶等</t>
        </is>
      </c>
    </row>
    <row r="16">
      <c r="A16" s="6" t="inlineStr">
        <is>
          <t>床品等物资</t>
        </is>
      </c>
      <c r="B16" s="11" t="n">
        <v>833</v>
      </c>
      <c r="C16" s="9" t="inlineStr">
        <is>
          <t>固定</t>
        </is>
      </c>
      <c r="D16" s="12">
        <f>B16/B18</f>
        <v/>
      </c>
      <c r="E16" s="8" t="inlineStr">
        <is>
          <t>年 10000 ÷ 12</t>
        </is>
      </c>
    </row>
    <row r="17">
      <c r="A17" s="6" t="inlineStr">
        <is>
          <t>杂项</t>
        </is>
      </c>
      <c r="B17" s="11" t="n">
        <v>2000</v>
      </c>
      <c r="C17" s="9" t="inlineStr">
        <is>
          <t>固定</t>
        </is>
      </c>
      <c r="D17" s="12">
        <f>B17/B18</f>
        <v/>
      </c>
      <c r="E17" s="8" t="inlineStr">
        <is>
          <t>杂费约 2000</t>
        </is>
      </c>
    </row>
    <row r="18">
      <c r="A18" s="16" t="inlineStr">
        <is>
          <t>月总支出</t>
        </is>
      </c>
      <c r="B18" s="16">
        <f>SUM(B12:B17)</f>
        <v/>
      </c>
    </row>
    <row r="20">
      <c r="A20" s="17" t="inlineStr">
        <is>
          <t>📊 月利润（核心结果）</t>
        </is>
      </c>
    </row>
    <row r="21">
      <c r="A21" s="7" t="inlineStr">
        <is>
          <t>月利润</t>
        </is>
      </c>
      <c r="B21" s="16">
        <f>D8-B18</f>
        <v/>
      </c>
      <c r="C21" s="12">
        <f>收入-支出</f>
        <v/>
      </c>
    </row>
    <row r="22">
      <c r="A22" s="7" t="inlineStr">
        <is>
          <t>利润率</t>
        </is>
      </c>
      <c r="B22" s="16">
        <f>ROUND(B21/D8*100,1)</f>
        <v/>
      </c>
      <c r="C22" s="12">
        <f>利润/收入×100%</f>
        <v/>
      </c>
    </row>
    <row r="23">
      <c r="A23" s="18" t="inlineStr">
        <is>
          <t>⚠️ 结论</t>
        </is>
      </c>
      <c r="B23" s="19" t="inlineStr">
        <is>
          <t>当前月亏 3.7 万！需调整定价+控制工资占比</t>
        </is>
      </c>
    </row>
  </sheetData>
  <mergeCells count="5">
    <mergeCell ref="B23:E23"/>
    <mergeCell ref="A20:E20"/>
    <mergeCell ref="A2:E2"/>
    <mergeCell ref="A10:E10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 ht="36" customHeight="1">
      <c r="A1" s="1" t="inlineStr">
        <is>
          <t>分级别定价（基于单床成本 × 难度系数）</t>
        </is>
      </c>
    </row>
    <row r="2">
      <c r="A2" s="2" t="inlineStr">
        <is>
          <t>💡 定价公式（2 步）</t>
        </is>
      </c>
    </row>
    <row r="3">
      <c r="A3" s="7" t="inlineStr">
        <is>
          <t>分级定价 = 单床成本 × 难度系数 × (1 + 利润率)</t>
        </is>
      </c>
    </row>
    <row r="4">
      <c r="A4" s="4" t="inlineStr">
        <is>
          <t>难度系数：自理 1.0 / 半护 1.3 / 全护 1.6 / 特护 2.0</t>
        </is>
      </c>
    </row>
    <row r="6">
      <c r="A6" s="5" t="inlineStr">
        <is>
          <t>老人级别</t>
        </is>
      </c>
      <c r="B6" s="5" t="inlineStr">
        <is>
          <t>难度系数</t>
        </is>
      </c>
      <c r="C6" s="5" t="inlineStr">
        <is>
          <t>单床成本</t>
        </is>
      </c>
      <c r="D6" s="5" t="inlineStr">
        <is>
          <t>保本定价</t>
        </is>
      </c>
      <c r="E6" s="5" t="inlineStr">
        <is>
          <t>+15%利润定价</t>
        </is>
      </c>
      <c r="F6" s="5" t="inlineStr">
        <is>
          <t>刘院长现定价</t>
        </is>
      </c>
      <c r="G6" s="5" t="inlineStr">
        <is>
          <t>差距</t>
        </is>
      </c>
    </row>
    <row r="7">
      <c r="A7" s="4" t="inlineStr">
        <is>
          <t>自理</t>
        </is>
      </c>
      <c r="B7" s="11" t="n">
        <v>1</v>
      </c>
      <c r="C7" s="11" t="n">
        <v>7111</v>
      </c>
      <c r="D7" s="12">
        <f>ROUND(B7*C7,0)</f>
        <v/>
      </c>
      <c r="E7" s="12">
        <f>ROUND(D7*1.15,0)</f>
        <v/>
      </c>
      <c r="F7" s="11" t="n">
        <v>3500</v>
      </c>
      <c r="G7" s="16">
        <f>E7-F7</f>
        <v/>
      </c>
    </row>
    <row r="8">
      <c r="A8" s="4" t="inlineStr">
        <is>
          <t>半护</t>
        </is>
      </c>
      <c r="B8" s="11" t="n">
        <v>1.3</v>
      </c>
      <c r="C8" s="11" t="n">
        <v>7111</v>
      </c>
      <c r="D8" s="12">
        <f>ROUND(B8*C8,0)</f>
        <v/>
      </c>
      <c r="E8" s="12">
        <f>ROUND(D8*1.15,0)</f>
        <v/>
      </c>
      <c r="F8" s="11" t="n">
        <v>4200</v>
      </c>
      <c r="G8" s="16">
        <f>E8-F8</f>
        <v/>
      </c>
    </row>
    <row r="9">
      <c r="A9" s="4" t="inlineStr">
        <is>
          <t>全护</t>
        </is>
      </c>
      <c r="B9" s="11" t="n">
        <v>1.6</v>
      </c>
      <c r="C9" s="11" t="n">
        <v>7111</v>
      </c>
      <c r="D9" s="12">
        <f>ROUND(B9*C9,0)</f>
        <v/>
      </c>
      <c r="E9" s="12">
        <f>ROUND(D9*1.15,0)</f>
        <v/>
      </c>
      <c r="F9" s="11" t="n">
        <v>4560</v>
      </c>
      <c r="G9" s="16">
        <f>E9-F9</f>
        <v/>
      </c>
    </row>
    <row r="10">
      <c r="A10" s="4" t="inlineStr">
        <is>
          <t>特护</t>
        </is>
      </c>
      <c r="B10" s="11" t="n">
        <v>2</v>
      </c>
      <c r="C10" s="11" t="n">
        <v>7111</v>
      </c>
      <c r="D10" s="12">
        <f>ROUND(B10*C10,0)</f>
        <v/>
      </c>
      <c r="E10" s="12">
        <f>ROUND(D10*1.15,0)</f>
        <v/>
      </c>
      <c r="F10" s="11" t="n">
        <v>5000</v>
      </c>
      <c r="G10" s="13">
        <f>E10-F10</f>
        <v/>
      </c>
    </row>
    <row r="12">
      <c r="A12" s="2" t="inlineStr">
        <is>
          <t>📋 建议定价（综合考虑市场可接受度 + 利润）</t>
        </is>
      </c>
    </row>
    <row r="13">
      <c r="A13" s="4" t="inlineStr">
        <is>
          <t>💰 床位费</t>
        </is>
      </c>
      <c r="B13" s="7" t="inlineStr">
        <is>
          <t>建议调到 2,500 元/月（覆盖房租+水电）</t>
        </is>
      </c>
      <c r="F13" s="8" t="inlineStr">
        <is>
          <t>当前 1,200 严重低估</t>
        </is>
      </c>
    </row>
    <row r="14">
      <c r="A14" s="4" t="inlineStr">
        <is>
          <t>💰 自理总费</t>
        </is>
      </c>
      <c r="B14" s="7" t="inlineStr">
        <is>
          <t>建议 8,200 元/月（保本）</t>
        </is>
      </c>
      <c r="F14" s="8" t="inlineStr">
        <is>
          <t>→ 全自理单床亏 4,711 元</t>
        </is>
      </c>
    </row>
    <row r="15">
      <c r="A15" s="4" t="inlineStr">
        <is>
          <t>💰 半护总费</t>
        </is>
      </c>
      <c r="B15" s="7" t="inlineStr">
        <is>
          <t>建议 10,600 元/月</t>
        </is>
      </c>
      <c r="F15" s="8" t="inlineStr">
        <is>
          <t>→ 当前收 5,400 亏一半</t>
        </is>
      </c>
    </row>
    <row r="16">
      <c r="A16" s="4" t="inlineStr">
        <is>
          <t>💰 全护总费</t>
        </is>
      </c>
      <c r="B16" s="7" t="inlineStr">
        <is>
          <t>建议 13,000 元/月</t>
        </is>
      </c>
      <c r="F16" s="8" t="inlineStr">
        <is>
          <t>→ 当前收 5,760 亏一半</t>
        </is>
      </c>
    </row>
    <row r="17">
      <c r="A17" s="4" t="inlineStr">
        <is>
          <t>💰 特护总费</t>
        </is>
      </c>
      <c r="B17" s="7" t="inlineStr">
        <is>
          <t>建议 16,400 元/月</t>
        </is>
      </c>
      <c r="F17" s="8" t="inlineStr">
        <is>
          <t>→ 当前收 6,200 亏一半</t>
        </is>
      </c>
    </row>
  </sheetData>
  <mergeCells count="15">
    <mergeCell ref="B17:E17"/>
    <mergeCell ref="A1:G1"/>
    <mergeCell ref="F15:G15"/>
    <mergeCell ref="F16:G16"/>
    <mergeCell ref="A3:G3"/>
    <mergeCell ref="B13:E13"/>
    <mergeCell ref="A12:G12"/>
    <mergeCell ref="A4:G4"/>
    <mergeCell ref="B16:E16"/>
    <mergeCell ref="B15:E15"/>
    <mergeCell ref="A2:G2"/>
    <mergeCell ref="F14:G14"/>
    <mergeCell ref="F13:G13"/>
    <mergeCell ref="F17:G17"/>
    <mergeCell ref="B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6" customWidth="1" min="4" max="4"/>
    <col width="22" customWidth="1" min="5" max="5"/>
    <col width="25" customWidth="1" min="6" max="6"/>
  </cols>
  <sheetData>
    <row r="1" ht="36" customHeight="1">
      <c r="A1" s="1" t="inlineStr">
        <is>
          <t>高/中/低利润床位比例测算</t>
        </is>
      </c>
    </row>
    <row r="2">
      <c r="A2" s="2" t="inlineStr">
        <is>
          <t>💡 利润床位 3 分法</t>
        </is>
      </c>
    </row>
    <row r="3">
      <c r="A3" s="4" t="inlineStr">
        <is>
          <t>高利润床（特护）≥ 30% · 中利润床（全护+半护）≥ 40% · 低利润床（自理）≤ 30%</t>
        </is>
      </c>
    </row>
    <row r="5">
      <c r="A5" s="5" t="inlineStr">
        <is>
          <t>利润类型</t>
        </is>
      </c>
      <c r="B5" s="5" t="inlineStr">
        <is>
          <t>级别</t>
        </is>
      </c>
      <c r="C5" s="5" t="inlineStr">
        <is>
          <t>床位数</t>
        </is>
      </c>
      <c r="D5" s="5" t="inlineStr">
        <is>
          <t>占总床%</t>
        </is>
      </c>
      <c r="E5" s="5" t="inlineStr">
        <is>
          <t>单价(元/月)</t>
        </is>
      </c>
      <c r="F5" s="5" t="inlineStr">
        <is>
          <t>月收入</t>
        </is>
      </c>
    </row>
    <row r="6">
      <c r="A6" s="20" t="inlineStr">
        <is>
          <t>高利润</t>
        </is>
      </c>
      <c r="B6" s="9" t="inlineStr">
        <is>
          <t>特护</t>
        </is>
      </c>
      <c r="C6" s="11" t="n">
        <v>1</v>
      </c>
      <c r="D6" s="12">
        <f>C6/12</f>
        <v/>
      </c>
      <c r="E6" s="11" t="n">
        <v>5000</v>
      </c>
      <c r="F6" s="12">
        <f>C6*E6</f>
        <v/>
      </c>
    </row>
    <row r="7">
      <c r="A7" s="18" t="inlineStr">
        <is>
          <t>中利润</t>
        </is>
      </c>
      <c r="B7" s="9" t="inlineStr">
        <is>
          <t>全护</t>
        </is>
      </c>
      <c r="C7" s="11" t="n">
        <v>1</v>
      </c>
      <c r="D7" s="12">
        <f>C7/12</f>
        <v/>
      </c>
      <c r="E7" s="11" t="n">
        <v>4560</v>
      </c>
      <c r="F7" s="12">
        <f>C7*E7</f>
        <v/>
      </c>
    </row>
    <row r="8">
      <c r="A8" s="18" t="inlineStr">
        <is>
          <t>中利润</t>
        </is>
      </c>
      <c r="B8" s="9" t="inlineStr">
        <is>
          <t>半护</t>
        </is>
      </c>
      <c r="C8" s="11" t="n">
        <v>2</v>
      </c>
      <c r="D8" s="12">
        <f>C8/12</f>
        <v/>
      </c>
      <c r="E8" s="11" t="n">
        <v>4200</v>
      </c>
      <c r="F8" s="12">
        <f>C8*E8</f>
        <v/>
      </c>
    </row>
    <row r="9">
      <c r="A9" s="21" t="inlineStr">
        <is>
          <t>低利润</t>
        </is>
      </c>
      <c r="B9" s="9" t="inlineStr">
        <is>
          <t>自理</t>
        </is>
      </c>
      <c r="C9" s="11" t="n">
        <v>3</v>
      </c>
      <c r="D9" s="12">
        <f>C9/12</f>
        <v/>
      </c>
      <c r="E9" s="11" t="n">
        <v>3500</v>
      </c>
      <c r="F9" s="12">
        <f>C9*E9</f>
        <v/>
      </c>
    </row>
    <row r="10">
      <c r="A10" s="7" t="inlineStr">
        <is>
          <t>合计</t>
        </is>
      </c>
      <c r="C10" s="13">
        <f>SUM(C6:C9)</f>
        <v/>
      </c>
      <c r="D10" s="13" t="inlineStr">
        <is>
          <t>100%</t>
        </is>
      </c>
      <c r="F10" s="13">
        <f>SUM(F6:F9)</f>
        <v/>
      </c>
    </row>
    <row r="12">
      <c r="A12" s="2" t="inlineStr">
        <is>
          <t>📊 现状评估</t>
        </is>
      </c>
    </row>
    <row r="13">
      <c r="A13" s="4" t="inlineStr">
        <is>
          <t>高利润占比</t>
        </is>
      </c>
      <c r="B13" s="16" t="inlineStr">
        <is>
          <t>1/12 = 8.3%</t>
        </is>
      </c>
      <c r="C13" s="9" t="inlineStr">
        <is>
          <t>远低于 30%</t>
        </is>
      </c>
    </row>
    <row r="14">
      <c r="A14" s="4" t="inlineStr">
        <is>
          <t>中利润占比</t>
        </is>
      </c>
      <c r="B14" s="16" t="inlineStr">
        <is>
          <t>3/12 = 25%</t>
        </is>
      </c>
      <c r="C14" s="9" t="inlineStr">
        <is>
          <t>远低于 40%</t>
        </is>
      </c>
    </row>
    <row r="15">
      <c r="A15" s="4" t="inlineStr">
        <is>
          <t>低利润占比</t>
        </is>
      </c>
      <c r="B15" s="16" t="inlineStr">
        <is>
          <t>3/12 = 25%</t>
        </is>
      </c>
      <c r="C15" s="9" t="inlineStr">
        <is>
          <t>接近 30% 上限</t>
        </is>
      </c>
    </row>
    <row r="17">
      <c r="A17" s="14" t="inlineStr">
        <is>
          <t>✅ 改进方案（扩护理区）</t>
        </is>
      </c>
    </row>
    <row r="18">
      <c r="A18" s="22" t="inlineStr">
        <is>
          <t>将一楼 5 张自理床改造成护理床 → 高利润床从 1 → 6 张 = 50%</t>
        </is>
      </c>
    </row>
    <row r="19">
      <c r="A19" s="23" t="inlineStr">
        <is>
          <t>预计月收入提升 25,000 元（5 张 × 5000 元护理费 + 满床后床位费 + 餐费）</t>
        </is>
      </c>
    </row>
  </sheetData>
  <mergeCells count="7">
    <mergeCell ref="A2:F2"/>
    <mergeCell ref="A19:F19"/>
    <mergeCell ref="A1:F1"/>
    <mergeCell ref="A17:F17"/>
    <mergeCell ref="A12:F12"/>
    <mergeCell ref="A18:F18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8" customWidth="1" min="5" max="5"/>
    <col width="20" customWidth="1" min="6" max="6"/>
    <col width="20" customWidth="1" min="7" max="7"/>
  </cols>
  <sheetData>
    <row r="1" ht="36" customHeight="1">
      <c r="A1" s="1" t="inlineStr">
        <is>
          <t>护理工时核算（不同级别护理员配比）</t>
        </is>
      </c>
    </row>
    <row r="2">
      <c r="A2" s="2" t="inlineStr">
        <is>
          <t>💡 工时公式（1 句）</t>
        </is>
      </c>
    </row>
    <row r="3">
      <c r="A3" s="7" t="inlineStr">
        <is>
          <t>单老人日均护理工时 = 基础 1.0h + 半护 +1h + 全护 +2h + 特护 +3h</t>
        </is>
      </c>
    </row>
    <row r="5">
      <c r="A5" s="5" t="inlineStr">
        <is>
          <t>级别</t>
        </is>
      </c>
      <c r="B5" s="5" t="inlineStr">
        <is>
          <t>基础工时</t>
        </is>
      </c>
      <c r="C5" s="5" t="inlineStr">
        <is>
          <t>等级加成</t>
        </is>
      </c>
      <c r="D5" s="5" t="inlineStr">
        <is>
          <t>单人日工时</t>
        </is>
      </c>
      <c r="E5" s="5" t="inlineStr">
        <is>
          <t>护理员日工时上限</t>
        </is>
      </c>
      <c r="F5" s="5" t="inlineStr">
        <is>
          <t>可照护人数</t>
        </is>
      </c>
      <c r="G5" s="5" t="inlineStr">
        <is>
          <t>1:陪比</t>
        </is>
      </c>
    </row>
    <row r="6">
      <c r="A6" s="4" t="inlineStr">
        <is>
          <t>自理</t>
        </is>
      </c>
      <c r="B6" s="11" t="n">
        <v>1</v>
      </c>
      <c r="C6" s="11" t="n">
        <v>0</v>
      </c>
      <c r="D6" s="12">
        <f>B6+C6</f>
        <v/>
      </c>
      <c r="E6" s="11" t="n">
        <v>8</v>
      </c>
      <c r="F6" s="12">
        <f>ROUND(E6/D6,1)</f>
        <v/>
      </c>
      <c r="G6" s="9" t="inlineStr">
        <is>
          <t>1:8.0</t>
        </is>
      </c>
    </row>
    <row r="7">
      <c r="A7" s="4" t="inlineStr">
        <is>
          <t>半护</t>
        </is>
      </c>
      <c r="B7" s="11" t="n">
        <v>1</v>
      </c>
      <c r="C7" s="11" t="n">
        <v>1</v>
      </c>
      <c r="D7" s="12">
        <f>B7+C7</f>
        <v/>
      </c>
      <c r="E7" s="11" t="n">
        <v>8</v>
      </c>
      <c r="F7" s="12">
        <f>ROUND(E7/D7,1)</f>
        <v/>
      </c>
      <c r="G7" s="9" t="inlineStr">
        <is>
          <t>1:4.0</t>
        </is>
      </c>
    </row>
    <row r="8">
      <c r="A8" s="4" t="inlineStr">
        <is>
          <t>全护</t>
        </is>
      </c>
      <c r="B8" s="11" t="n">
        <v>1</v>
      </c>
      <c r="C8" s="11" t="n">
        <v>2</v>
      </c>
      <c r="D8" s="12">
        <f>B8+C8</f>
        <v/>
      </c>
      <c r="E8" s="11" t="n">
        <v>8</v>
      </c>
      <c r="F8" s="12">
        <f>ROUND(E8/D8,1)</f>
        <v/>
      </c>
      <c r="G8" s="9" t="inlineStr">
        <is>
          <t>1:2.7</t>
        </is>
      </c>
    </row>
    <row r="9">
      <c r="A9" s="4" t="inlineStr">
        <is>
          <t>特护</t>
        </is>
      </c>
      <c r="B9" s="11" t="n">
        <v>1</v>
      </c>
      <c r="C9" s="11" t="n">
        <v>3</v>
      </c>
      <c r="D9" s="12">
        <f>B9+C9</f>
        <v/>
      </c>
      <c r="E9" s="11" t="n">
        <v>8</v>
      </c>
      <c r="F9" s="12">
        <f>ROUND(E9/D9,1)</f>
        <v/>
      </c>
      <c r="G9" s="9" t="inlineStr">
        <is>
          <t>1:2.0</t>
        </is>
      </c>
    </row>
    <row r="11">
      <c r="A11" s="2" t="inlineStr">
        <is>
          <t>📋 刘院长院现状测算（7 张护理床：自理 3 + 半护 2 + 全护 1 + 特护 1）</t>
        </is>
      </c>
    </row>
    <row r="12">
      <c r="A12" s="5" t="inlineStr">
        <is>
          <t>级别</t>
        </is>
      </c>
      <c r="B12" s="5" t="inlineStr">
        <is>
          <t>人数</t>
        </is>
      </c>
      <c r="C12" s="5" t="inlineStr">
        <is>
          <t>单人日工时</t>
        </is>
      </c>
      <c r="D12" s="5" t="inlineStr">
        <is>
          <t>合计工时</t>
        </is>
      </c>
      <c r="E12" s="5" t="inlineStr">
        <is>
          <t>需要护理员</t>
        </is>
      </c>
      <c r="F12" s="5" t="inlineStr">
        <is>
          <t>实际人数</t>
        </is>
      </c>
      <c r="G12" s="5" t="inlineStr">
        <is>
          <t>差距</t>
        </is>
      </c>
    </row>
    <row r="13">
      <c r="A13" s="4" t="inlineStr">
        <is>
          <t>自理</t>
        </is>
      </c>
      <c r="B13" s="11" t="n">
        <v>3</v>
      </c>
      <c r="C13" s="11" t="n">
        <v>1</v>
      </c>
      <c r="D13" s="12">
        <f>B13*C13</f>
        <v/>
      </c>
    </row>
    <row r="14">
      <c r="A14" s="4" t="inlineStr">
        <is>
          <t>半护</t>
        </is>
      </c>
      <c r="B14" s="11" t="n">
        <v>2</v>
      </c>
      <c r="C14" s="11" t="n">
        <v>2</v>
      </c>
      <c r="D14" s="12">
        <f>B14*C14</f>
        <v/>
      </c>
    </row>
    <row r="15">
      <c r="A15" s="4" t="inlineStr">
        <is>
          <t>全护</t>
        </is>
      </c>
      <c r="B15" s="11" t="n">
        <v>1</v>
      </c>
      <c r="C15" s="11" t="n">
        <v>3</v>
      </c>
      <c r="D15" s="12">
        <f>B15*C15</f>
        <v/>
      </c>
    </row>
    <row r="16">
      <c r="A16" s="4" t="inlineStr">
        <is>
          <t>特护</t>
        </is>
      </c>
      <c r="B16" s="11" t="n">
        <v>1</v>
      </c>
      <c r="C16" s="11" t="n">
        <v>4</v>
      </c>
      <c r="D16" s="12">
        <f>B16*C16</f>
        <v/>
      </c>
    </row>
    <row r="17">
      <c r="A17" s="7" t="inlineStr">
        <is>
          <t>合计</t>
        </is>
      </c>
      <c r="D17" s="13" t="n">
        <v>14</v>
      </c>
      <c r="E17" s="13">
        <f>ROUND(D17/8,1)</f>
        <v/>
      </c>
      <c r="F17" s="11" t="inlineStr">
        <is>
          <t>6 人</t>
        </is>
      </c>
      <c r="G17" s="16">
        <f>ROUND(D17/8,1)-6</f>
        <v/>
      </c>
    </row>
    <row r="19" ht="36" customHeight="1">
      <c r="A19" s="24" t="inlineStr">
        <is>
          <t>⚠️ 结论：当前 7 张护理床合计需要 1.8 个护理员，但刘院长只配 6 人。建议：①加 1 人 或 ②扩到 9-10 张（更划算）</t>
        </is>
      </c>
    </row>
  </sheetData>
  <mergeCells count="5">
    <mergeCell ref="A1:G1"/>
    <mergeCell ref="A3:G3"/>
    <mergeCell ref="A2:G2"/>
    <mergeCell ref="A19:G19"/>
    <mergeCell ref="A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20" customWidth="1" min="4" max="4"/>
    <col width="25" customWidth="1" min="5" max="5"/>
  </cols>
  <sheetData>
    <row r="1" ht="36" customHeight="1">
      <c r="A1" s="1" t="inlineStr">
        <is>
          <t>工资占总收入比（健康线：50-55%）</t>
        </is>
      </c>
    </row>
    <row r="2">
      <c r="A2" s="2" t="inlineStr">
        <is>
          <t>💡 公式（1 句）</t>
        </is>
      </c>
    </row>
    <row r="3">
      <c r="A3" s="7" t="inlineStr">
        <is>
          <t>工资占比 = 月工资 ÷ 月总收入 × 100%</t>
        </is>
      </c>
    </row>
    <row r="5">
      <c r="A5" s="5" t="inlineStr">
        <is>
          <t>项目</t>
        </is>
      </c>
      <c r="B5" s="5" t="inlineStr">
        <is>
          <t>金额</t>
        </is>
      </c>
      <c r="C5" s="5" t="inlineStr">
        <is>
          <t>占比</t>
        </is>
      </c>
      <c r="D5" s="5" t="inlineStr">
        <is>
          <t>健康线</t>
        </is>
      </c>
      <c r="E5" s="5" t="inlineStr">
        <is>
          <t>评估</t>
        </is>
      </c>
    </row>
    <row r="6">
      <c r="A6" s="4" t="inlineStr">
        <is>
          <t>月工资总额</t>
        </is>
      </c>
      <c r="B6" s="11" t="n">
        <v>65000</v>
      </c>
    </row>
    <row r="7">
      <c r="A7" s="4" t="inlineStr">
        <is>
          <t>月总收入</t>
        </is>
      </c>
      <c r="B7" s="11" t="n">
        <v>48160</v>
      </c>
    </row>
    <row r="8">
      <c r="A8" s="7" t="inlineStr">
        <is>
          <t>⚠️ 当前工资占比</t>
        </is>
      </c>
      <c r="B8" s="16">
        <f>ROUND(B6/B7*100,1)</f>
        <v/>
      </c>
      <c r="C8" s="9" t="inlineStr">
        <is>
          <t>%</t>
        </is>
      </c>
      <c r="D8" s="9" t="inlineStr">
        <is>
          <t>50-55%</t>
        </is>
      </c>
      <c r="E8" s="16" t="inlineStr">
        <is>
          <t>❌ 严重超标</t>
        </is>
      </c>
    </row>
    <row r="10">
      <c r="A10" s="14" t="inlineStr">
        <is>
          <t>✅ 3 步把工资占比降到 55%</t>
        </is>
      </c>
    </row>
    <row r="11">
      <c r="A11" s="6" t="inlineStr">
        <is>
          <t>第 1 步：扩床到 9-10 张护理床</t>
        </is>
      </c>
      <c r="B11" s="8" t="inlineStr">
        <is>
          <t>+ 25,000 元/月收入</t>
        </is>
      </c>
      <c r="D11" s="13" t="inlineStr">
        <is>
          <t>工资占比 → 76%</t>
        </is>
      </c>
    </row>
    <row r="12">
      <c r="A12" s="6" t="inlineStr">
        <is>
          <t>第 2 步：调整定价至建议价</t>
        </is>
      </c>
      <c r="B12" s="8" t="inlineStr">
        <is>
          <t>+ 35,000 元/月收入</t>
        </is>
      </c>
      <c r="D12" s="13" t="inlineStr">
        <is>
          <t>工资占比 → 50%</t>
        </is>
      </c>
    </row>
    <row r="13">
      <c r="A13" s="6" t="inlineStr">
        <is>
          <t>第 3 步：精细化工时排班</t>
        </is>
      </c>
      <c r="B13" s="8" t="inlineStr">
        <is>
          <t>- 5,000 元/月工资</t>
        </is>
      </c>
      <c r="D13" s="13" t="inlineStr">
        <is>
          <t>工资占比 → 47%（健康）</t>
        </is>
      </c>
    </row>
  </sheetData>
  <mergeCells count="10">
    <mergeCell ref="B13:C13"/>
    <mergeCell ref="A2:E2"/>
    <mergeCell ref="B11:C11"/>
    <mergeCell ref="A10:E10"/>
    <mergeCell ref="D11:E11"/>
    <mergeCell ref="D13:E13"/>
    <mergeCell ref="A1:E1"/>
    <mergeCell ref="B12:C12"/>
    <mergeCell ref="D12:E12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25" customWidth="1" min="5" max="5"/>
  </cols>
  <sheetData>
    <row r="1" ht="36" customHeight="1">
      <c r="A1" s="1" t="inlineStr">
        <is>
          <t>食堂成本拆分（被刘院长忽略的关键项）</t>
        </is>
      </c>
    </row>
    <row r="2">
      <c r="A2" s="19" t="inlineStr">
        <is>
          <t>💡 关键发现：刘院长餐费收 900，但食材 7500 + 后厨 2 人工资未计入 → 严重低估！</t>
        </is>
      </c>
    </row>
    <row r="4">
      <c r="A4" s="5" t="inlineStr">
        <is>
          <t>项目</t>
        </is>
      </c>
      <c r="B4" s="5" t="inlineStr">
        <is>
          <t>金额(元/月)</t>
        </is>
      </c>
      <c r="C4" s="5" t="inlineStr">
        <is>
          <t>说明</t>
        </is>
      </c>
      <c r="D4" s="5" t="inlineStr">
        <is>
          <t>公式</t>
        </is>
      </c>
      <c r="E4" s="5" t="inlineStr">
        <is>
          <t>评估</t>
        </is>
      </c>
    </row>
    <row r="5">
      <c r="A5" s="6" t="inlineStr">
        <is>
          <t>食材成本</t>
        </is>
      </c>
      <c r="B5" s="11" t="n">
        <v>7500</v>
      </c>
      <c r="C5" s="8" t="inlineStr">
        <is>
          <t>肉禽蛋奶等</t>
        </is>
      </c>
      <c r="D5" s="12" t="inlineStr">
        <is>
          <t>—</t>
        </is>
      </c>
      <c r="E5" s="13" t="inlineStr">
        <is>
          <t>已计入总支出</t>
        </is>
      </c>
    </row>
    <row r="6">
      <c r="A6" s="6" t="inlineStr">
        <is>
          <t>后厨 2 人工资（估算）</t>
        </is>
      </c>
      <c r="B6" s="11" t="n">
        <v>0</v>
      </c>
      <c r="C6" s="8" t="inlineStr">
        <is>
          <t>刘院长未单独报，估算 10000</t>
        </is>
      </c>
      <c r="D6" s="12" t="inlineStr">
        <is>
          <t>估算</t>
        </is>
      </c>
      <c r="E6" s="16" t="inlineStr">
        <is>
          <t>❌ 漏计</t>
        </is>
      </c>
    </row>
    <row r="7">
      <c r="A7" s="6" t="inlineStr">
        <is>
          <t>餐费总收入</t>
        </is>
      </c>
      <c r="B7" s="11" t="n">
        <v>6300</v>
      </c>
      <c r="C7" s="8" t="inlineStr">
        <is>
          <t>7 位老人 × 900</t>
        </is>
      </c>
      <c r="D7" s="12">
        <f>7×900</f>
        <v/>
      </c>
      <c r="E7" s="13" t="inlineStr">
        <is>
          <t>严重低估</t>
        </is>
      </c>
    </row>
    <row r="8">
      <c r="A8" s="6" t="inlineStr">
        <is>
          <t>食堂盈亏</t>
        </is>
      </c>
      <c r="B8" s="11" t="n">
        <v>-11200</v>
      </c>
      <c r="C8" s="8" t="inlineStr">
        <is>
          <t>食材+工资-收入</t>
        </is>
      </c>
      <c r="D8" s="12">
        <f> -11200</f>
        <v/>
      </c>
      <c r="E8" s="16" t="inlineStr">
        <is>
          <t>❌ 月亏 1.1 万</t>
        </is>
      </c>
    </row>
    <row r="10">
      <c r="A10" s="23" t="inlineStr">
        <is>
          <t>✅ 建议：餐费上调至 1,500 元/月（含后厨工资摊销）</t>
        </is>
      </c>
    </row>
    <row r="11">
      <c r="A11" s="8">
        <f> 7 × 1500 = 10,500 元 → 食堂 +1,800 元转正</f>
        <v/>
      </c>
    </row>
  </sheetData>
  <mergeCells count="4">
    <mergeCell ref="A2:E2"/>
    <mergeCell ref="A11:E11"/>
    <mergeCell ref="A1:E1"/>
    <mergeCell ref="A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 ht="36" customHeight="1">
      <c r="A1" s="1" t="inlineStr">
        <is>
          <t>7 步扭亏为盈方案（执行清单）</t>
        </is>
      </c>
    </row>
    <row r="2">
      <c r="A2" s="5" t="inlineStr">
        <is>
          <t>序号</t>
        </is>
      </c>
      <c r="B2" s="5" t="inlineStr">
        <is>
          <t>动作</t>
        </is>
      </c>
      <c r="C2" s="5" t="inlineStr">
        <is>
          <t>负责人</t>
        </is>
      </c>
      <c r="D2" s="5" t="inlineStr">
        <is>
          <t>完成时间</t>
        </is>
      </c>
      <c r="E2" s="5" t="inlineStr">
        <is>
          <t>预估增收/降本</t>
        </is>
      </c>
      <c r="F2" s="5" t="inlineStr">
        <is>
          <t>判定标准</t>
        </is>
      </c>
    </row>
    <row r="3">
      <c r="A3" s="4" t="n">
        <v>1</v>
      </c>
      <c r="B3" s="8" t="inlineStr">
        <is>
          <t>改定价：床位费 1200 → 2500</t>
        </is>
      </c>
      <c r="C3" s="9" t="inlineStr">
        <is>
          <t>院长</t>
        </is>
      </c>
      <c r="D3" s="9" t="inlineStr">
        <is>
          <t>立即</t>
        </is>
      </c>
      <c r="E3" s="13" t="inlineStr">
        <is>
          <t>+ 15600 元/月</t>
        </is>
      </c>
      <c r="F3" s="8" t="inlineStr">
        <is>
          <t>新签合同按 2500</t>
        </is>
      </c>
    </row>
    <row r="4">
      <c r="A4" s="4" t="n">
        <v>2</v>
      </c>
      <c r="B4" s="8" t="inlineStr">
        <is>
          <t>改护理费：平均 5000 → 6500</t>
        </is>
      </c>
      <c r="C4" s="9" t="inlineStr">
        <is>
          <t>院长</t>
        </is>
      </c>
      <c r="D4" s="9" t="inlineStr">
        <is>
          <t>1 个月内</t>
        </is>
      </c>
      <c r="E4" s="13" t="inlineStr">
        <is>
          <t>+ 10500 元/月</t>
        </is>
      </c>
      <c r="F4" s="8" t="inlineStr">
        <is>
          <t>新签合同按 6500</t>
        </is>
      </c>
    </row>
    <row r="5">
      <c r="A5" s="4" t="n">
        <v>3</v>
      </c>
      <c r="B5" s="8" t="inlineStr">
        <is>
          <t>改餐费：900 → 1500</t>
        </is>
      </c>
      <c r="C5" s="9" t="inlineStr">
        <is>
          <t>院长</t>
        </is>
      </c>
      <c r="D5" s="9" t="inlineStr">
        <is>
          <t>1 个月内</t>
        </is>
      </c>
      <c r="E5" s="13" t="inlineStr">
        <is>
          <t>+ 4200 元/月</t>
        </is>
      </c>
      <c r="F5" s="8" t="inlineStr">
        <is>
          <t>新签合同按 1500</t>
        </is>
      </c>
    </row>
    <row r="6">
      <c r="A6" s="4" t="n">
        <v>4</v>
      </c>
      <c r="B6" s="8" t="inlineStr">
        <is>
          <t>扩护理区：一楼 5 张自理 → 护理</t>
        </is>
      </c>
      <c r="C6" s="9" t="inlineStr">
        <is>
          <t>院长</t>
        </is>
      </c>
      <c r="D6" s="9" t="inlineStr">
        <is>
          <t>3 个月内</t>
        </is>
      </c>
      <c r="E6" s="13" t="inlineStr">
        <is>
          <t>+ 25000 元/月</t>
        </is>
      </c>
      <c r="F6" s="8" t="inlineStr">
        <is>
          <t>5 张护理床满员</t>
        </is>
      </c>
    </row>
    <row r="7">
      <c r="A7" s="4" t="n">
        <v>5</v>
      </c>
      <c r="B7" s="8" t="inlineStr">
        <is>
          <t>合并核算：工资拆 6+1 含后厨</t>
        </is>
      </c>
      <c r="C7" s="9" t="inlineStr">
        <is>
          <t>护理主任</t>
        </is>
      </c>
      <c r="D7" s="9" t="inlineStr">
        <is>
          <t>立即</t>
        </is>
      </c>
      <c r="E7" s="13" t="inlineStr">
        <is>
          <t>核算透明</t>
        </is>
      </c>
      <c r="F7" s="8" t="inlineStr">
        <is>
          <t>工资占比可见</t>
        </is>
      </c>
    </row>
    <row r="8">
      <c r="A8" s="4" t="n">
        <v>6</v>
      </c>
      <c r="B8" s="8" t="inlineStr">
        <is>
          <t>精细化工时排班</t>
        </is>
      </c>
      <c r="C8" s="9" t="inlineStr">
        <is>
          <t>护理主任</t>
        </is>
      </c>
      <c r="D8" s="9" t="inlineStr">
        <is>
          <t>1 个月内</t>
        </is>
      </c>
      <c r="E8" s="13" t="inlineStr">
        <is>
          <t>- 5000 元/月</t>
        </is>
      </c>
      <c r="F8" s="8" t="inlineStr">
        <is>
          <t>工时利用率 85%</t>
        </is>
      </c>
    </row>
    <row r="9">
      <c r="A9" s="4" t="n">
        <v>7</v>
      </c>
      <c r="B9" s="8" t="inlineStr">
        <is>
          <t>月度核算 + 数据看板</t>
        </is>
      </c>
      <c r="C9" s="9" t="inlineStr">
        <is>
          <t>院长</t>
        </is>
      </c>
      <c r="D9" s="9" t="inlineStr">
        <is>
          <t>每月固定</t>
        </is>
      </c>
      <c r="E9" s="13" t="inlineStr">
        <is>
          <t>持续优化</t>
        </is>
      </c>
      <c r="F9" s="8" t="inlineStr">
        <is>
          <t>月利润 ≥ 0</t>
        </is>
      </c>
    </row>
    <row r="11" ht="28" customHeight="1">
      <c r="A11" s="25" t="inlineStr">
        <is>
          <t>📈 预期总效果：增收 55,300 元/月 - 降本 5,000 元/月 = + 60,300 元/月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</cols>
  <sheetData>
    <row r="1" ht="36" customHeight="1">
      <c r="A1" s="1" t="inlineStr">
        <is>
          <t>数据录入模板（每月固定填写）</t>
        </is>
      </c>
    </row>
    <row r="2">
      <c r="A2" s="2" t="inlineStr">
        <is>
          <t>🏢 院基本信息（每月更新）</t>
        </is>
      </c>
    </row>
    <row r="3">
      <c r="A3" s="5" t="inlineStr">
        <is>
          <t>项目</t>
        </is>
      </c>
      <c r="B3" s="5" t="inlineStr">
        <is>
          <t>数值</t>
        </is>
      </c>
      <c r="C3" s="5" t="inlineStr">
        <is>
          <t>项目</t>
        </is>
      </c>
      <c r="D3" s="5" t="inlineStr">
        <is>
          <t>数值</t>
        </is>
      </c>
    </row>
    <row r="4">
      <c r="A4" s="4" t="inlineStr">
        <is>
          <t>月份</t>
        </is>
      </c>
      <c r="B4" s="11" t="inlineStr">
        <is>
          <t>2026-__</t>
        </is>
      </c>
      <c r="C4" s="4" t="inlineStr">
        <is>
          <t>床位数</t>
        </is>
      </c>
      <c r="D4" s="11" t="n">
        <v>12</v>
      </c>
    </row>
    <row r="5">
      <c r="A5" s="4" t="inlineStr">
        <is>
          <t>入住老人数</t>
        </is>
      </c>
      <c r="B5" s="11" t="n">
        <v>7</v>
      </c>
      <c r="C5" s="4" t="inlineStr">
        <is>
          <t>其中：自理</t>
        </is>
      </c>
      <c r="D5" s="11" t="n">
        <v>3</v>
      </c>
    </row>
    <row r="6">
      <c r="A6" s="4" t="inlineStr">
        <is>
          <t>其中：半护</t>
        </is>
      </c>
      <c r="B6" s="11" t="n">
        <v>2</v>
      </c>
      <c r="C6" s="4" t="inlineStr">
        <is>
          <t>其中：全护</t>
        </is>
      </c>
      <c r="D6" s="11" t="n">
        <v>1</v>
      </c>
    </row>
    <row r="7">
      <c r="A7" s="4" t="inlineStr">
        <is>
          <t>其中：特护</t>
        </is>
      </c>
      <c r="B7" s="11" t="n">
        <v>1</v>
      </c>
      <c r="C7" s="4" t="inlineStr"/>
      <c r="D7" s="11" t="inlineStr"/>
    </row>
    <row r="9">
      <c r="A9" s="26" t="inlineStr">
        <is>
          <t>💰 月度收入（每月填）</t>
        </is>
      </c>
    </row>
    <row r="10">
      <c r="A10" s="5" t="inlineStr">
        <is>
          <t>收入项</t>
        </is>
      </c>
      <c r="B10" s="5" t="inlineStr">
        <is>
          <t>金额</t>
        </is>
      </c>
      <c r="C10" s="5" t="inlineStr">
        <is>
          <t>收入项</t>
        </is>
      </c>
      <c r="D10" s="5" t="inlineStr">
        <is>
          <t>金额</t>
        </is>
      </c>
    </row>
    <row r="11">
      <c r="A11" s="4" t="inlineStr">
        <is>
          <t>床位费总额</t>
        </is>
      </c>
      <c r="B11" s="11" t="n">
        <v>14400</v>
      </c>
      <c r="C11" s="4" t="inlineStr">
        <is>
          <t>餐费总额</t>
        </is>
      </c>
      <c r="D11" s="11" t="n">
        <v>6300</v>
      </c>
    </row>
    <row r="12">
      <c r="A12" s="4" t="inlineStr">
        <is>
          <t>护理费总额</t>
        </is>
      </c>
      <c r="B12" s="11" t="n">
        <v>26960</v>
      </c>
      <c r="C12" s="4" t="inlineStr">
        <is>
          <t>取暖费分摊</t>
        </is>
      </c>
      <c r="D12" s="11" t="n">
        <v>500</v>
      </c>
    </row>
    <row r="13">
      <c r="A13" s="4" t="inlineStr">
        <is>
          <t>补贴等其他</t>
        </is>
      </c>
      <c r="B13" s="11" t="n">
        <v>0</v>
      </c>
      <c r="C13" s="4" t="inlineStr"/>
      <c r="D13" s="11" t="inlineStr"/>
    </row>
    <row r="15">
      <c r="A15" s="27" t="inlineStr">
        <is>
          <t>💸 月度支出（每月填）</t>
        </is>
      </c>
    </row>
    <row r="16">
      <c r="A16" s="5" t="inlineStr">
        <is>
          <t>支出项</t>
        </is>
      </c>
      <c r="B16" s="5" t="inlineStr">
        <is>
          <t>金额</t>
        </is>
      </c>
      <c r="C16" s="5" t="inlineStr">
        <is>
          <t>支出项</t>
        </is>
      </c>
      <c r="D16" s="5" t="inlineStr">
        <is>
          <t>金额</t>
        </is>
      </c>
    </row>
    <row r="17">
      <c r="A17" s="4" t="inlineStr">
        <is>
          <t>房租</t>
        </is>
      </c>
      <c r="B17" s="11" t="n">
        <v>5000</v>
      </c>
      <c r="C17" s="4" t="inlineStr">
        <is>
          <t>水电</t>
        </is>
      </c>
      <c r="D17" s="11" t="n">
        <v>5000</v>
      </c>
    </row>
    <row r="18">
      <c r="A18" s="4" t="inlineStr">
        <is>
          <t>工资（全员）</t>
        </is>
      </c>
      <c r="B18" s="11" t="n">
        <v>65000</v>
      </c>
      <c r="C18" s="4" t="inlineStr">
        <is>
          <t>食堂食材</t>
        </is>
      </c>
      <c r="D18" s="11" t="n">
        <v>7500</v>
      </c>
    </row>
    <row r="19">
      <c r="A19" s="4" t="inlineStr">
        <is>
          <t>床品等物资</t>
        </is>
      </c>
      <c r="B19" s="11" t="n">
        <v>833</v>
      </c>
      <c r="C19" s="4" t="inlineStr">
        <is>
          <t>杂项</t>
        </is>
      </c>
      <c r="D19" s="11" t="n">
        <v>2000</v>
      </c>
    </row>
  </sheetData>
  <mergeCells count="4">
    <mergeCell ref="A1:D1"/>
    <mergeCell ref="A9:D9"/>
    <mergeCell ref="A2:D2"/>
    <mergeCell ref="A15:D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 ht="36" customHeight="1">
      <c r="A1" s="1" t="inlineStr">
        <is>
          <t>公式原理（为什么这样算）</t>
        </is>
      </c>
    </row>
    <row r="2">
      <c r="A2" s="5" t="inlineStr">
        <is>
          <t>公式</t>
        </is>
      </c>
      <c r="B2" s="5" t="inlineStr">
        <is>
          <t>为什么这样算</t>
        </is>
      </c>
      <c r="C2" s="5" t="inlineStr">
        <is>
          <t>生活类比</t>
        </is>
      </c>
    </row>
    <row r="3" ht="45" customHeight="1">
      <c r="A3" s="6" t="inlineStr">
        <is>
          <t>单床成本 = 月总支出 ÷ 总床数</t>
        </is>
      </c>
      <c r="B3" s="8" t="inlineStr">
        <is>
          <t>12 张床共同承担 8.5 万月支出，平均每张床分摊 7,111 元</t>
        </is>
      </c>
      <c r="C3" s="8" t="inlineStr">
        <is>
          <t>就像合租，3 个人分摊 9000 房租，每人 3000</t>
        </is>
      </c>
    </row>
    <row r="4" ht="45" customHeight="1">
      <c r="A4" s="6" t="inlineStr">
        <is>
          <t>难度系数：自理 1.0 / 半护 1.3 / 全护 1.6 / 特护 2.0</t>
        </is>
      </c>
      <c r="B4" s="8" t="inlineStr">
        <is>
          <t>照护难度越高，护理员工时越多，成本越高，定价越高</t>
        </is>
      </c>
      <c r="C4" s="8" t="inlineStr">
        <is>
          <t>像酒店：单人间 1.0 / 大床房 1.3 / 套房 1.6 / 总统套房 2.0</t>
        </is>
      </c>
    </row>
    <row r="5" ht="45" customHeight="1">
      <c r="A5" s="6" t="inlineStr">
        <is>
          <t>+15% 利润定价</t>
        </is>
      </c>
      <c r="B5" s="8" t="inlineStr">
        <is>
          <t>覆盖成本 + 留 15% 利润（行业标准）</t>
        </is>
      </c>
      <c r="C5" s="8" t="inlineStr">
        <is>
          <t>像摆摊：成本 10 元 + 利润 3 元 = 卖 13 元</t>
        </is>
      </c>
    </row>
    <row r="6" ht="45" customHeight="1">
      <c r="A6" s="6" t="inlineStr">
        <is>
          <t>工资占比 50-55% 健康线</t>
        </is>
      </c>
      <c r="B6" s="8" t="inlineStr">
        <is>
          <t>工资是变动成本的最大项，占比过高吃掉利润</t>
        </is>
      </c>
      <c r="C6" s="8" t="inlineStr">
        <is>
          <t>像开店：房租不能超过营收的 20%</t>
        </is>
      </c>
    </row>
    <row r="7" ht="45" customHeight="1">
      <c r="A7" s="6" t="inlineStr">
        <is>
          <t>高/中/低利润床比例</t>
        </is>
      </c>
      <c r="B7" s="8" t="inlineStr">
        <is>
          <t>高利润床拉高整体利润，低利润床保证入住率</t>
        </is>
      </c>
      <c r="C7" s="8" t="inlineStr">
        <is>
          <t>像电商：爆款引流 + 利润款赚钱</t>
        </is>
      </c>
    </row>
    <row r="8" ht="45" customHeight="1">
      <c r="A8" s="6" t="inlineStr">
        <is>
          <t>单老人日工时：基础 1.0h + 加成</t>
        </is>
      </c>
      <c r="B8" s="8" t="inlineStr">
        <is>
          <t>1 个护理员 1 天 8h，可照护 8 个自理 / 4 个半护 / 2.7 个全护 / 2 个特护</t>
        </is>
      </c>
      <c r="C8" s="8" t="inlineStr">
        <is>
          <t>像 1 个老师 1 天 8 节课，可教 8 个班 / 4 个班小班 / 2.7 个班精品课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8" customWidth="1" min="3" max="3"/>
    <col width="28" customWidth="1" min="4" max="4"/>
  </cols>
  <sheetData>
    <row r="1" ht="36" customHeight="1">
      <c r="A1" s="1" t="inlineStr">
        <is>
          <t>5 大常见错（核算易错点）</t>
        </is>
      </c>
    </row>
    <row r="2">
      <c r="A2" s="5" t="inlineStr">
        <is>
          <t>#</t>
        </is>
      </c>
      <c r="B2" s="5" t="inlineStr">
        <is>
          <t>常见错</t>
        </is>
      </c>
      <c r="C2" s="5" t="inlineStr">
        <is>
          <t>为什么错</t>
        </is>
      </c>
      <c r="D2" s="5" t="inlineStr">
        <is>
          <t>正确做法</t>
        </is>
      </c>
    </row>
    <row r="3" ht="45" customHeight="1">
      <c r="A3" s="4" t="n">
        <v>1</v>
      </c>
      <c r="B3" s="28" t="inlineStr">
        <is>
          <t>床位费拍脑袋定价</t>
        </is>
      </c>
      <c r="C3" s="8" t="inlineStr">
        <is>
          <t>刘院长院房租低就定 1200，但人工是大头</t>
        </is>
      </c>
      <c r="D3" s="22" t="inlineStr">
        <is>
          <t>按单床成本 2,500 定价，覆盖人工+房租</t>
        </is>
      </c>
    </row>
    <row r="4" ht="45" customHeight="1">
      <c r="A4" s="4" t="n">
        <v>2</v>
      </c>
      <c r="B4" s="28" t="inlineStr">
        <is>
          <t>后厨工资不计入餐费成本</t>
        </is>
      </c>
      <c r="C4" s="8" t="inlineStr">
        <is>
          <t>以为餐费 900 收够了，忽略后厨 2 人工资</t>
        </is>
      </c>
      <c r="D4" s="22" t="inlineStr">
        <is>
          <t>餐费应 = 食材 + 后厨工资 ÷ 老人数</t>
        </is>
      </c>
    </row>
    <row r="5" ht="45" customHeight="1">
      <c r="A5" s="4" t="n">
        <v>3</v>
      </c>
      <c r="B5" s="28" t="inlineStr">
        <is>
          <t>混住老人统一定价</t>
        </is>
      </c>
      <c r="C5" s="8" t="inlineStr">
        <is>
          <t>自理/半护/全护/特护都收一样</t>
        </is>
      </c>
      <c r="D5" s="22" t="inlineStr">
        <is>
          <t>按难度系数 1.0/1.3/1.6/2.0 分级定价</t>
        </is>
      </c>
    </row>
    <row r="6" ht="45" customHeight="1">
      <c r="A6" s="4" t="n">
        <v>4</v>
      </c>
      <c r="B6" s="28" t="inlineStr">
        <is>
          <t>满床就算盈利</t>
        </is>
      </c>
      <c r="C6" s="8" t="inlineStr">
        <is>
          <t>12 张床满 7 张护理 + 5 张自理仍亏 3.7 万</t>
        </is>
      </c>
      <c r="D6" s="22" t="inlineStr">
        <is>
          <t>看利润总额，不看入住率</t>
        </is>
      </c>
    </row>
    <row r="7" ht="45" customHeight="1">
      <c r="A7" s="4" t="n">
        <v>5</v>
      </c>
      <c r="B7" s="28" t="inlineStr">
        <is>
          <t>不计算护理员工时</t>
        </is>
      </c>
      <c r="C7" s="8" t="inlineStr">
        <is>
          <t>混住导致护理员工时浪费，工时利用率低</t>
        </is>
      </c>
      <c r="D7" s="22" t="inlineStr">
        <is>
          <t>按单老人日工时精细化排班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2" customWidth="1" min="4" max="4"/>
    <col width="20" customWidth="1" min="5" max="5"/>
  </cols>
  <sheetData>
    <row r="1" ht="36" customHeight="1">
      <c r="A1" s="1" t="inlineStr">
        <is>
          <t>月度核算日历（每月固定执行）</t>
        </is>
      </c>
    </row>
    <row r="2">
      <c r="A2" s="5" t="inlineStr">
        <is>
          <t>日期</t>
        </is>
      </c>
      <c r="B2" s="5" t="inlineStr">
        <is>
          <t>动作</t>
        </is>
      </c>
      <c r="C2" s="5" t="inlineStr">
        <is>
          <t>负责人</t>
        </is>
      </c>
      <c r="D2" s="5" t="inlineStr">
        <is>
          <t>用时</t>
        </is>
      </c>
      <c r="E2" s="5" t="inlineStr">
        <is>
          <t>产出</t>
        </is>
      </c>
    </row>
    <row r="3">
      <c r="A3" s="4" t="inlineStr">
        <is>
          <t>每月 1 日</t>
        </is>
      </c>
      <c r="B3" s="8" t="inlineStr">
        <is>
          <t>录入上月数据到模板</t>
        </is>
      </c>
      <c r="C3" s="9" t="inlineStr">
        <is>
          <t>院长+护理主任</t>
        </is>
      </c>
      <c r="D3" s="9" t="inlineStr">
        <is>
          <t>1h</t>
        </is>
      </c>
      <c r="E3" s="8" t="inlineStr">
        <is>
          <t>数据录入模板填好</t>
        </is>
      </c>
    </row>
    <row r="4">
      <c r="A4" s="4" t="inlineStr">
        <is>
          <t>每月 2 日</t>
        </is>
      </c>
      <c r="B4" s="8" t="inlineStr">
        <is>
          <t>核算上月单床成本</t>
        </is>
      </c>
      <c r="C4" s="9" t="inlineStr">
        <is>
          <t>院长</t>
        </is>
      </c>
      <c r="D4" s="9" t="inlineStr">
        <is>
          <t>30min</t>
        </is>
      </c>
      <c r="E4" s="8" t="inlineStr">
        <is>
          <t>单床成本数</t>
        </is>
      </c>
    </row>
    <row r="5">
      <c r="A5" s="4" t="inlineStr">
        <is>
          <t>每月 3 日</t>
        </is>
      </c>
      <c r="B5" s="8" t="inlineStr">
        <is>
          <t>核算上月利润</t>
        </is>
      </c>
      <c r="C5" s="9" t="inlineStr">
        <is>
          <t>院长</t>
        </is>
      </c>
      <c r="D5" s="9" t="inlineStr">
        <is>
          <t>30min</t>
        </is>
      </c>
      <c r="E5" s="8" t="inlineStr">
        <is>
          <t>月利润数</t>
        </is>
      </c>
    </row>
    <row r="6">
      <c r="A6" s="4" t="inlineStr">
        <is>
          <t>每月 4 日</t>
        </is>
      </c>
      <c r="B6" s="8" t="inlineStr">
        <is>
          <t>跟护理主任讨论异常项</t>
        </is>
      </c>
      <c r="C6" s="9" t="inlineStr">
        <is>
          <t>院长+护理主任</t>
        </is>
      </c>
      <c r="D6" s="9" t="inlineStr">
        <is>
          <t>1h</t>
        </is>
      </c>
      <c r="E6" s="8" t="inlineStr">
        <is>
          <t>异常清单</t>
        </is>
      </c>
    </row>
    <row r="7">
      <c r="A7" s="4" t="inlineStr">
        <is>
          <t>每月 5 日</t>
        </is>
      </c>
      <c r="B7" s="8" t="inlineStr">
        <is>
          <t>更新定价（如需）</t>
        </is>
      </c>
      <c r="C7" s="9" t="inlineStr">
        <is>
          <t>院长</t>
        </is>
      </c>
      <c r="D7" s="9" t="inlineStr">
        <is>
          <t>30min</t>
        </is>
      </c>
      <c r="E7" s="8" t="inlineStr">
        <is>
          <t>新定价</t>
        </is>
      </c>
    </row>
    <row r="8">
      <c r="A8" s="4" t="inlineStr">
        <is>
          <t>每月 10 日</t>
        </is>
      </c>
      <c r="B8" s="8" t="inlineStr">
        <is>
          <t>团队会议公布上月数据</t>
        </is>
      </c>
      <c r="C8" s="9" t="inlineStr">
        <is>
          <t>院长</t>
        </is>
      </c>
      <c r="D8" s="9" t="inlineStr">
        <is>
          <t>30min</t>
        </is>
      </c>
      <c r="E8" s="8" t="inlineStr">
        <is>
          <t>团队知情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2026-09-13T15:08:19Z</dcterms:created>
  <dcterms:modified xmlns:dcterms="http://purl.org/dc/terms/" xmlns:xsi="http://www.w3.org/2001/XMLSchema-instance" xsi:type="dcterms:W3CDTF">2026-09-13T15:08:20Z</dcterms:modified>
</cp:coreProperties>
</file>