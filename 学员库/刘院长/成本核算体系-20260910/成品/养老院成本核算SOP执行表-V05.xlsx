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总览" sheetId="1" state="visible" r:id="rId1"/>
    <sheet xmlns:r="http://schemas.openxmlformats.org/officeDocument/2006/relationships" name="🛏 单床成本核算" sheetId="2" state="visible" r:id="rId2"/>
    <sheet xmlns:r="http://schemas.openxmlformats.org/officeDocument/2006/relationships" name="💰 月度收支核算" sheetId="3" state="visible" r:id="rId3"/>
    <sheet xmlns:r="http://schemas.openxmlformats.org/officeDocument/2006/relationships" name="⚖️ 分级别定价" sheetId="4" state="visible" r:id="rId4"/>
    <sheet xmlns:r="http://schemas.openxmlformats.org/officeDocument/2006/relationships" name="📊 利润床位比例" sheetId="5" state="visible" r:id="rId5"/>
    <sheet xmlns:r="http://schemas.openxmlformats.org/officeDocument/2006/relationships" name="👥 护理工时核算" sheetId="6" state="visible" r:id="rId6"/>
    <sheet xmlns:r="http://schemas.openxmlformats.org/officeDocument/2006/relationships" name="📉 工资占比优化" sheetId="7" state="visible" r:id="rId7"/>
    <sheet xmlns:r="http://schemas.openxmlformats.org/officeDocument/2006/relationships" name="🍳 食堂成本拆分" sheetId="8" state="visible" r:id="rId8"/>
    <sheet xmlns:r="http://schemas.openxmlformats.org/officeDocument/2006/relationships" name="🎯 结构优化方案" sheetId="9" state="visible" r:id="rId9"/>
    <sheet xmlns:r="http://schemas.openxmlformats.org/officeDocument/2006/relationships" name="📋 数据录入模板" sheetId="10" state="visible" r:id="rId10"/>
    <sheet xmlns:r="http://schemas.openxmlformats.org/officeDocument/2006/relationships" name="📖 公式原理" sheetId="11" state="visible" r:id="rId11"/>
    <sheet xmlns:r="http://schemas.openxmlformats.org/officeDocument/2006/relationships" name="⚠️ V05 数据核查清单" sheetId="12" state="visible" r:id="rId12"/>
    <sheet xmlns:r="http://schemas.openxmlformats.org/officeDocument/2006/relationships" name="📅 月度核算日历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FFFFFF"/>
      <sz val="14"/>
    </font>
    <font>
      <name val="微软雅黑"/>
      <b val="1"/>
      <color rgb="001F4E78"/>
      <sz val="10"/>
    </font>
    <font>
      <name val="微软雅黑"/>
      <b val="1"/>
      <color rgb="001F4E78"/>
      <sz val="14"/>
    </font>
    <font>
      <name val="微软雅黑"/>
      <b val="1"/>
      <color rgb="00C00000"/>
      <sz val="11"/>
    </font>
    <font>
      <name val="微软雅黑"/>
      <sz val="10"/>
    </font>
    <font>
      <name val="微软雅黑"/>
      <b val="1"/>
      <color rgb="00006100"/>
      <sz val="14"/>
    </font>
    <font>
      <name val="微软雅黑"/>
      <b val="1"/>
      <color rgb="00FFFFFF"/>
      <sz val="12"/>
    </font>
    <font>
      <name val="微软雅黑"/>
      <color rgb="000070C0"/>
      <sz val="10"/>
    </font>
    <font>
      <name val="微软雅黑"/>
      <i val="1"/>
      <color rgb="00C00000"/>
      <sz val="10"/>
    </font>
    <font>
      <name val="微软雅黑"/>
      <b val="1"/>
      <color rgb="00548235"/>
      <sz val="12"/>
    </font>
    <font>
      <name val="微软雅黑"/>
      <b val="1"/>
      <color rgb="009C0006"/>
      <sz val="14"/>
    </font>
    <font>
      <name val="微软雅黑"/>
      <b val="1"/>
      <color rgb="00548235"/>
      <sz val="11"/>
    </font>
    <font>
      <name val="微软雅黑"/>
      <b val="1"/>
      <color rgb="00006100"/>
      <sz val="12"/>
    </font>
    <font>
      <name val="微软雅黑"/>
      <i val="1"/>
      <color rgb="00595959"/>
      <sz val="11"/>
    </font>
    <font>
      <name val="微软雅黑"/>
      <b val="1"/>
      <color rgb="001F4E78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5B9BD5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22" customWidth="1" min="4" max="4"/>
  </cols>
  <sheetData>
    <row r="1" ht="36" customHeight="1">
      <c r="A1" s="1" t="inlineStr">
        <is>
          <t>养老院成本核算总览（V05 · 4 项新数据修订版）</t>
        </is>
      </c>
    </row>
    <row r="2" ht="22" customHeight="1">
      <c r="A2" s="2" t="inlineStr">
        <is>
          <t>🏢 院基本信息</t>
        </is>
      </c>
    </row>
    <row r="3">
      <c r="A3" s="3" t="inlineStr">
        <is>
          <t>院名</t>
        </is>
      </c>
      <c r="B3" s="4" t="inlineStr">
        <is>
          <t>__________ 养老院</t>
        </is>
      </c>
      <c r="C3" s="3" t="inlineStr"/>
    </row>
    <row r="4">
      <c r="A4" s="3" t="inlineStr">
        <is>
          <t>床位数</t>
        </is>
      </c>
      <c r="B4" s="4" t="inlineStr">
        <is>
          <t>50 张</t>
        </is>
      </c>
      <c r="C4" s="3" t="inlineStr"/>
    </row>
    <row r="5">
      <c r="A5" s="3" t="inlineStr">
        <is>
          <t>老人总数</t>
        </is>
      </c>
      <c r="B5" s="4" t="inlineStr">
        <is>
          <t>50 人（自理 30 + 半护 10 + 全护 5 + 特护 5）</t>
        </is>
      </c>
      <c r="C5" s="3" t="inlineStr"/>
    </row>
    <row r="6">
      <c r="A6" s="3" t="inlineStr">
        <is>
          <t>版本</t>
        </is>
      </c>
      <c r="B6" s="4" t="inlineStr">
        <is>
          <t>V05 · 2026-09-12（4 项新数据修订版）</t>
        </is>
      </c>
      <c r="C6" s="3" t="inlineStr"/>
    </row>
    <row r="8" ht="22" customHeight="1">
      <c r="A8" s="5" t="inlineStr">
        <is>
          <t>🆕 V05 核心变化（4 项数据修正）</t>
        </is>
      </c>
    </row>
    <row r="9">
      <c r="A9" s="6" t="inlineStr">
        <is>
          <t>① 厨师工资</t>
        </is>
      </c>
      <c r="B9" s="7" t="inlineStr">
        <is>
          <t>未列 → 10,000 元/月</t>
        </is>
      </c>
      <c r="C9" s="8" t="inlineStr">
        <is>
          <t>+10,000</t>
        </is>
      </c>
    </row>
    <row r="10">
      <c r="A10" s="6" t="inlineStr">
        <is>
          <t>② 帮厨工资</t>
        </is>
      </c>
      <c r="B10" s="7" t="inlineStr">
        <is>
          <t>未列 → 6,000 元/月</t>
        </is>
      </c>
      <c r="C10" s="8" t="inlineStr">
        <is>
          <t>+6,000</t>
        </is>
      </c>
    </row>
    <row r="11">
      <c r="A11" s="6" t="inlineStr">
        <is>
          <t>③ 食材成本</t>
        </is>
      </c>
      <c r="B11" s="7" t="inlineStr">
        <is>
          <t>8,000 → 20,000 元/月</t>
        </is>
      </c>
      <c r="C11" s="8" t="inlineStr">
        <is>
          <t>+12,000</t>
        </is>
      </c>
    </row>
    <row r="12">
      <c r="A12" s="6" t="inlineStr">
        <is>
          <t>④ 餐具消耗</t>
        </is>
      </c>
      <c r="B12" s="7" t="inlineStr">
        <is>
          <t>833 → 833 元/月 (年 10,000)</t>
        </is>
      </c>
      <c r="C12" s="8" t="inlineStr">
        <is>
          <t>不变</t>
        </is>
      </c>
    </row>
    <row r="13">
      <c r="A13" s="6" t="inlineStr">
        <is>
          <t>⑤ 护理员工资</t>
        </is>
      </c>
      <c r="B13" s="7" t="inlineStr">
        <is>
          <t>70,000 → 77,000 元/月</t>
        </is>
      </c>
      <c r="C13" s="8" t="inlineStr">
        <is>
          <t>+7,000</t>
        </is>
      </c>
    </row>
    <row r="14">
      <c r="A14" s="6" t="inlineStr">
        <is>
          <t>⑥ 院长+副院长工资</t>
        </is>
      </c>
      <c r="B14" s="7" t="inlineStr">
        <is>
          <t>未列 → 20,000 元/月</t>
        </is>
      </c>
      <c r="C14" s="8" t="inlineStr">
        <is>
          <t>+20,000</t>
        </is>
      </c>
    </row>
    <row r="15">
      <c r="A15" s="6" t="inlineStr">
        <is>
          <t>月总支出</t>
        </is>
      </c>
      <c r="B15" s="7" t="inlineStr">
        <is>
          <t>88,833 → 144,666 元</t>
        </is>
      </c>
      <c r="C15" s="8" t="inlineStr">
        <is>
          <t>+55,833</t>
        </is>
      </c>
    </row>
    <row r="16">
      <c r="A16" s="6" t="inlineStr">
        <is>
          <t>月利润</t>
        </is>
      </c>
      <c r="B16" s="7" t="inlineStr">
        <is>
          <t>217,217 → 161,384 元</t>
        </is>
      </c>
      <c r="C16" s="8" t="inlineStr">
        <is>
          <t>-55,833</t>
        </is>
      </c>
    </row>
    <row r="17">
      <c r="A17" s="6" t="inlineStr">
        <is>
          <t>利润率</t>
        </is>
      </c>
      <c r="B17" s="7" t="inlineStr">
        <is>
          <t>71.0% → 52.7%</t>
        </is>
      </c>
      <c r="C17" s="8" t="inlineStr">
        <is>
          <t>降 18.3%</t>
        </is>
      </c>
    </row>
    <row r="18">
      <c r="A18" s="6" t="inlineStr">
        <is>
          <t>单床成本</t>
        </is>
      </c>
      <c r="B18" s="7" t="inlineStr">
        <is>
          <t>1,777 → 2,893 元/月</t>
        </is>
      </c>
      <c r="C18" s="8" t="inlineStr">
        <is>
          <t>+1,116</t>
        </is>
      </c>
    </row>
    <row r="19">
      <c r="A19" s="6" t="inlineStr">
        <is>
          <t>工资占比</t>
        </is>
      </c>
      <c r="B19" s="7" t="inlineStr">
        <is>
          <t>22.9% → 36.9%</t>
        </is>
      </c>
      <c r="C19" s="8" t="inlineStr">
        <is>
          <t>+14%</t>
        </is>
      </c>
    </row>
    <row r="21" ht="22" customHeight="1">
      <c r="A21" s="9" t="inlineStr">
        <is>
          <t>✅ V05 关键发现（4 个）</t>
        </is>
      </c>
    </row>
    <row r="22">
      <c r="A22" s="6" t="inlineStr">
        <is>
          <t>✅ 月利润 16.1 万</t>
        </is>
      </c>
      <c r="B22" s="10" t="inlineStr">
        <is>
          <t>利润率 52.7%，终于在健康线（30-50%）附近</t>
        </is>
      </c>
      <c r="C22" s="8" t="inlineStr">
        <is>
          <t>数据完整可靠</t>
        </is>
      </c>
    </row>
    <row r="23">
      <c r="A23" s="6" t="inlineStr">
        <is>
          <t>✅ 工资占比 36.9%</t>
        </is>
      </c>
      <c r="B23" s="10" t="inlineStr">
        <is>
          <t>接近健康线 50-55%</t>
        </is>
      </c>
      <c r="C23" s="8" t="inlineStr">
        <is>
          <t>基本完整</t>
        </is>
      </c>
    </row>
    <row r="24">
      <c r="A24" s="6" t="inlineStr">
        <is>
          <t>⚠️ 床位结构失衡</t>
        </is>
      </c>
      <c r="B24" s="7" t="inlineStr">
        <is>
          <t>自理 30/50 = 60%（健康线 ≤ 30%）</t>
        </is>
      </c>
      <c r="C24" s="8" t="inlineStr">
        <is>
          <t>需扩护理区</t>
        </is>
      </c>
    </row>
    <row r="25">
      <c r="A25" s="6" t="inlineStr">
        <is>
          <t>⚠️ 食材仍偏低</t>
        </is>
      </c>
      <c r="B25" s="7" t="inlineStr">
        <is>
          <t>13.3 元/餐，行业标准 50 元/天</t>
        </is>
      </c>
      <c r="C25" s="8" t="inlineStr">
        <is>
          <t>建议补齐</t>
        </is>
      </c>
    </row>
    <row r="27" ht="22" customHeight="1">
      <c r="A27" s="2" t="inlineStr">
        <is>
          <t>📋 核心数据速览</t>
        </is>
      </c>
    </row>
    <row r="28">
      <c r="A28" s="11" t="inlineStr">
        <is>
          <t>指标</t>
        </is>
      </c>
      <c r="B28" s="11" t="inlineStr">
        <is>
          <t>数据</t>
        </is>
      </c>
      <c r="C28" s="11" t="inlineStr">
        <is>
          <t>公式</t>
        </is>
      </c>
      <c r="D28" s="11" t="inlineStr">
        <is>
          <t>评估</t>
        </is>
      </c>
    </row>
    <row r="29">
      <c r="A29" s="6" t="inlineStr">
        <is>
          <t>总床位数</t>
        </is>
      </c>
      <c r="B29" s="12" t="inlineStr">
        <is>
          <t>50 张</t>
        </is>
      </c>
      <c r="C29" s="13" t="inlineStr">
        <is>
          <t>—</t>
        </is>
      </c>
      <c r="D29" s="14" t="inlineStr">
        <is>
          <t>基础数据</t>
        </is>
      </c>
    </row>
    <row r="30">
      <c r="A30" s="6" t="inlineStr">
        <is>
          <t>总人数</t>
        </is>
      </c>
      <c r="B30" s="12" t="inlineStr">
        <is>
          <t>50 人</t>
        </is>
      </c>
      <c r="C30" s="13" t="inlineStr">
        <is>
          <t>—</t>
        </is>
      </c>
      <c r="D30" s="14" t="inlineStr">
        <is>
          <t>100% 入住</t>
        </is>
      </c>
    </row>
    <row r="31">
      <c r="A31" s="6" t="inlineStr">
        <is>
          <t>月总收入</t>
        </is>
      </c>
      <c r="B31" s="12" t="inlineStr">
        <is>
          <t>306,050 元</t>
        </is>
      </c>
      <c r="C31" s="13" t="inlineStr">
        <is>
          <t>床位 6万+餐 4.5万+护理 19.5万+补贴 6.25千</t>
        </is>
      </c>
      <c r="D31" s="14" t="inlineStr">
        <is>
          <t>✅ 中等</t>
        </is>
      </c>
    </row>
    <row r="32">
      <c r="A32" s="6" t="inlineStr">
        <is>
          <t>月总支出</t>
        </is>
      </c>
      <c r="B32" s="12" t="inlineStr">
        <is>
          <t>144,666 元</t>
        </is>
      </c>
      <c r="C32" s="13" t="inlineStr">
        <is>
          <t>房租+水电+工资 11.3万+食材 2万+餐具+床品</t>
        </is>
      </c>
      <c r="D32" s="14" t="inlineStr">
        <is>
          <t>✅ 完整</t>
        </is>
      </c>
    </row>
    <row r="33">
      <c r="A33" s="6" t="inlineStr">
        <is>
          <t>月利润</t>
        </is>
      </c>
      <c r="B33" s="12" t="inlineStr">
        <is>
          <t>161,384 元</t>
        </is>
      </c>
      <c r="C33" s="13">
        <f> 收入 - 支出</f>
        <v/>
      </c>
      <c r="D33" s="14" t="inlineStr">
        <is>
          <t>✅ 健康</t>
        </is>
      </c>
    </row>
    <row r="34">
      <c r="A34" s="6" t="inlineStr">
        <is>
          <t>利润率</t>
        </is>
      </c>
      <c r="B34" s="12" t="inlineStr">
        <is>
          <t>52.7%</t>
        </is>
      </c>
      <c r="C34" s="13">
        <f> 利润 ÷ 收入</f>
        <v/>
      </c>
      <c r="D34" s="14" t="inlineStr">
        <is>
          <t>✅ 接近健康</t>
        </is>
      </c>
    </row>
    <row r="35">
      <c r="A35" s="6" t="inlineStr">
        <is>
          <t>单床成本</t>
        </is>
      </c>
      <c r="B35" s="12" t="inlineStr">
        <is>
          <t>2,893 元/月/床</t>
        </is>
      </c>
      <c r="C35" s="13">
        <f> 月总支出 ÷ 总床数</f>
        <v/>
      </c>
      <c r="D35" s="14" t="inlineStr">
        <is>
          <t>✅ 中等</t>
        </is>
      </c>
    </row>
    <row r="36">
      <c r="A36" s="6" t="inlineStr">
        <is>
          <t>自理综合收入</t>
        </is>
      </c>
      <c r="B36" s="12" t="inlineStr">
        <is>
          <t>5,600 元/月</t>
        </is>
      </c>
      <c r="C36" s="13">
        <f> 床位 1200+餐 900+护理 3500</f>
        <v/>
      </c>
      <c r="D36" s="14" t="inlineStr">
        <is>
          <t>✅ 合理</t>
        </is>
      </c>
    </row>
    <row r="37">
      <c r="A37" s="6" t="inlineStr">
        <is>
          <t>特护综合收入</t>
        </is>
      </c>
      <c r="B37" s="12" t="inlineStr">
        <is>
          <t>7,100 元/月</t>
        </is>
      </c>
      <c r="C37" s="13">
        <f> 床位 1200+餐 900+护理 5000</f>
        <v/>
      </c>
      <c r="D37" s="14" t="inlineStr">
        <is>
          <t>✅ 最高利润</t>
        </is>
      </c>
    </row>
    <row r="38">
      <c r="A38" s="6" t="inlineStr">
        <is>
          <t>工资占比</t>
        </is>
      </c>
      <c r="B38" s="12" t="inlineStr">
        <is>
          <t>36.9%</t>
        </is>
      </c>
      <c r="C38" s="13">
        <f> 工资 11.3万 ÷ 收入 30.6万</f>
        <v/>
      </c>
      <c r="D38" s="14" t="inlineStr">
        <is>
          <t>✅ 接近健康</t>
        </is>
      </c>
    </row>
    <row r="39">
      <c r="A39" s="6" t="inlineStr">
        <is>
          <t>高利润床位</t>
        </is>
      </c>
      <c r="B39" s="12" t="inlineStr">
        <is>
          <t>10.0%</t>
        </is>
      </c>
      <c r="C39" s="13" t="inlineStr">
        <is>
          <t>特护 5/50</t>
        </is>
      </c>
      <c r="D39" s="7" t="inlineStr">
        <is>
          <t>⚠️ &lt; 30%</t>
        </is>
      </c>
    </row>
    <row r="40">
      <c r="A40" s="6" t="inlineStr">
        <is>
          <t>中利润床位</t>
        </is>
      </c>
      <c r="B40" s="12" t="inlineStr">
        <is>
          <t>30.0%</t>
        </is>
      </c>
      <c r="C40" s="13" t="inlineStr">
        <is>
          <t>半护+全护 15/50</t>
        </is>
      </c>
      <c r="D40" s="7" t="inlineStr">
        <is>
          <t>⚠️ &lt; 40%</t>
        </is>
      </c>
    </row>
    <row r="41">
      <c r="A41" s="6" t="inlineStr">
        <is>
          <t>低利润床位</t>
        </is>
      </c>
      <c r="B41" s="12" t="inlineStr">
        <is>
          <t>60.0%</t>
        </is>
      </c>
      <c r="C41" s="13" t="inlineStr">
        <is>
          <t>自理 30/50</t>
        </is>
      </c>
      <c r="D41" s="15" t="inlineStr">
        <is>
          <t>❌ &gt; 30%</t>
        </is>
      </c>
    </row>
    <row r="43" ht="22" customHeight="1">
      <c r="A43" s="2" t="inlineStr">
        <is>
          <t>📑 13 个 Sheet 一览</t>
        </is>
      </c>
    </row>
    <row r="44">
      <c r="A44" s="11" t="inlineStr">
        <is>
          <t>Sheet</t>
        </is>
      </c>
      <c r="B44" s="11" t="inlineStr">
        <is>
          <t>用途</t>
        </is>
      </c>
      <c r="C44" s="11" t="inlineStr">
        <is>
          <t>谁用</t>
        </is>
      </c>
      <c r="D44" s="11" t="inlineStr">
        <is>
          <t>频次</t>
        </is>
      </c>
    </row>
    <row r="45">
      <c r="A45" s="4" t="inlineStr">
        <is>
          <t>📊 总览</t>
        </is>
      </c>
      <c r="B45" s="8" t="inlineStr">
        <is>
          <t>全局速览 + V05 变化</t>
        </is>
      </c>
      <c r="C45" s="16" t="inlineStr">
        <is>
          <t>院长</t>
        </is>
      </c>
      <c r="D45" s="16" t="inlineStr">
        <is>
          <t>月</t>
        </is>
      </c>
    </row>
    <row r="46">
      <c r="A46" s="4" t="inlineStr">
        <is>
          <t>🛏 单床成本核算</t>
        </is>
      </c>
      <c r="B46" s="8" t="inlineStr">
        <is>
          <t>单床成本公式</t>
        </is>
      </c>
      <c r="C46" s="16" t="inlineStr">
        <is>
          <t>院长</t>
        </is>
      </c>
      <c r="D46" s="16" t="inlineStr">
        <is>
          <t>月</t>
        </is>
      </c>
    </row>
    <row r="47">
      <c r="A47" s="4" t="inlineStr">
        <is>
          <t>💰 月度收支核算</t>
        </is>
      </c>
      <c r="B47" s="8" t="inlineStr">
        <is>
          <t>月度收入/支出明细</t>
        </is>
      </c>
      <c r="C47" s="16" t="inlineStr">
        <is>
          <t>院长</t>
        </is>
      </c>
      <c r="D47" s="16" t="inlineStr">
        <is>
          <t>月</t>
        </is>
      </c>
    </row>
    <row r="48">
      <c r="A48" s="4" t="inlineStr">
        <is>
          <t>⚖️ 分级别定价</t>
        </is>
      </c>
      <c r="B48" s="8" t="inlineStr">
        <is>
          <t>自理/半护/全护/特护定价</t>
        </is>
      </c>
      <c r="C48" s="16" t="inlineStr">
        <is>
          <t>院长</t>
        </is>
      </c>
      <c r="D48" s="16" t="inlineStr">
        <is>
          <t>季</t>
        </is>
      </c>
    </row>
    <row r="49">
      <c r="A49" s="4" t="inlineStr">
        <is>
          <t>📊 利润床位比例</t>
        </is>
      </c>
      <c r="B49" s="8" t="inlineStr">
        <is>
          <t>高/中/低利润比例测算</t>
        </is>
      </c>
      <c r="C49" s="16" t="inlineStr">
        <is>
          <t>院长</t>
        </is>
      </c>
      <c r="D49" s="16" t="inlineStr">
        <is>
          <t>月</t>
        </is>
      </c>
    </row>
    <row r="50">
      <c r="A50" s="4" t="inlineStr">
        <is>
          <t>👥 护理工时核算</t>
        </is>
      </c>
      <c r="B50" s="8" t="inlineStr">
        <is>
          <t>11 护理员配置</t>
        </is>
      </c>
      <c r="C50" s="16" t="inlineStr">
        <is>
          <t>护理主任</t>
        </is>
      </c>
      <c r="D50" s="16" t="inlineStr">
        <is>
          <t>月</t>
        </is>
      </c>
    </row>
    <row r="51">
      <c r="A51" s="4" t="inlineStr">
        <is>
          <t>📉 工资占比优化</t>
        </is>
      </c>
      <c r="B51" s="8" t="inlineStr">
        <is>
          <t>工资 11.3 万分析</t>
        </is>
      </c>
      <c r="C51" s="16" t="inlineStr">
        <is>
          <t>院长</t>
        </is>
      </c>
      <c r="D51" s="16" t="inlineStr">
        <is>
          <t>月</t>
        </is>
      </c>
    </row>
    <row r="52">
      <c r="A52" s="4" t="inlineStr">
        <is>
          <t>🍳 食堂成本拆分</t>
        </is>
      </c>
      <c r="B52" s="8" t="inlineStr">
        <is>
          <t>厨师+帮厨+食材</t>
        </is>
      </c>
      <c r="C52" s="16" t="inlineStr">
        <is>
          <t>院长</t>
        </is>
      </c>
      <c r="D52" s="16" t="inlineStr">
        <is>
          <t>月</t>
        </is>
      </c>
    </row>
    <row r="53">
      <c r="A53" s="4" t="inlineStr">
        <is>
          <t>🎯 结构优化方案</t>
        </is>
      </c>
      <c r="B53" s="8" t="inlineStr">
        <is>
          <t>6 步优化动作清单</t>
        </is>
      </c>
      <c r="C53" s="16" t="inlineStr">
        <is>
          <t>院长</t>
        </is>
      </c>
      <c r="D53" s="16" t="inlineStr">
        <is>
          <t>月</t>
        </is>
      </c>
    </row>
    <row r="54">
      <c r="A54" s="4" t="inlineStr">
        <is>
          <t>📋 数据录入模板</t>
        </is>
      </c>
      <c r="B54" s="8" t="inlineStr">
        <is>
          <t>可复制粘贴使用</t>
        </is>
      </c>
      <c r="C54" s="16" t="inlineStr">
        <is>
          <t>院长</t>
        </is>
      </c>
      <c r="D54" s="16" t="inlineStr">
        <is>
          <t>月</t>
        </is>
      </c>
    </row>
    <row r="55">
      <c r="A55" s="4" t="inlineStr">
        <is>
          <t>📖 公式原理</t>
        </is>
      </c>
      <c r="B55" s="8" t="inlineStr">
        <is>
          <t>为什么这样算</t>
        </is>
      </c>
      <c r="C55" s="16" t="inlineStr">
        <is>
          <t>院长</t>
        </is>
      </c>
      <c r="D55" s="16" t="inlineStr">
        <is>
          <t>首次</t>
        </is>
      </c>
    </row>
    <row r="56">
      <c r="A56" s="4" t="inlineStr">
        <is>
          <t>⚠️ V05 数据核查清单</t>
        </is>
      </c>
      <c r="B56" s="8" t="inlineStr">
        <is>
          <t>剩余异常项</t>
        </is>
      </c>
      <c r="C56" s="16" t="inlineStr">
        <is>
          <t>院长</t>
        </is>
      </c>
      <c r="D56" s="16" t="inlineStr">
        <is>
          <t>立即</t>
        </is>
      </c>
    </row>
    <row r="57">
      <c r="A57" s="4" t="inlineStr">
        <is>
          <t>📅 月度核算日历</t>
        </is>
      </c>
      <c r="B57" s="8" t="inlineStr">
        <is>
          <t>每月固定核算时间</t>
        </is>
      </c>
      <c r="C57" s="16" t="inlineStr">
        <is>
          <t>院长</t>
        </is>
      </c>
      <c r="D57" s="16" t="inlineStr">
        <is>
          <t>月</t>
        </is>
      </c>
    </row>
  </sheetData>
  <mergeCells count="6">
    <mergeCell ref="A1:D1"/>
    <mergeCell ref="A27:D27"/>
    <mergeCell ref="A8:D8"/>
    <mergeCell ref="A21:D21"/>
    <mergeCell ref="A43:D4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36" customHeight="1">
      <c r="A1" s="1" t="inlineStr">
        <is>
          <t>单床位成本核算（核心公式 · 50 张床）</t>
        </is>
      </c>
    </row>
    <row r="2">
      <c r="A2" s="2" t="inlineStr">
        <is>
          <t>💡 核心公式（3 秒学会）</t>
        </is>
      </c>
    </row>
    <row r="3" ht="30" customHeight="1">
      <c r="A3" s="17" t="inlineStr">
        <is>
          <t>单床成本 = 月总支出 ÷ 总床位数</t>
        </is>
      </c>
    </row>
    <row r="4" ht="26" customHeight="1">
      <c r="A4" s="18" t="inlineStr">
        <is>
          <t>刘院长院：144,666 ÷ 50 = 2,893 元/月/床</t>
        </is>
      </c>
    </row>
    <row r="6">
      <c r="A6" s="2" t="inlineStr">
        <is>
          <t>📋 详细计算（基于刘院长真实数据）</t>
        </is>
      </c>
    </row>
    <row r="7">
      <c r="A7" s="11" t="inlineStr">
        <is>
          <t>支出项</t>
        </is>
      </c>
      <c r="B7" s="11" t="inlineStr">
        <is>
          <t>金额(元/月)</t>
        </is>
      </c>
      <c r="C7" s="11" t="inlineStr">
        <is>
          <t>占支出%</t>
        </is>
      </c>
      <c r="D7" s="11" t="inlineStr">
        <is>
          <t>归类</t>
        </is>
      </c>
      <c r="E7" s="11" t="inlineStr">
        <is>
          <t>备注</t>
        </is>
      </c>
    </row>
    <row r="8">
      <c r="A8" s="6" t="inlineStr">
        <is>
          <t>房租</t>
        </is>
      </c>
      <c r="B8" s="12" t="n">
        <v>5000</v>
      </c>
      <c r="C8" s="13">
        <f>B8/B17</f>
        <v/>
      </c>
      <c r="D8" s="16" t="inlineStr">
        <is>
          <t>固定</t>
        </is>
      </c>
      <c r="E8" s="8" t="inlineStr">
        <is>
          <t>固定支出</t>
        </is>
      </c>
    </row>
    <row r="9">
      <c r="A9" s="6" t="inlineStr">
        <is>
          <t>水电</t>
        </is>
      </c>
      <c r="B9" s="12" t="n">
        <v>5000</v>
      </c>
      <c r="C9" s="13">
        <f>B9/B17</f>
        <v/>
      </c>
      <c r="D9" s="16" t="inlineStr">
        <is>
          <t>固定</t>
        </is>
      </c>
      <c r="E9" s="8" t="inlineStr">
        <is>
          <t>固定支出</t>
        </is>
      </c>
    </row>
    <row r="10">
      <c r="A10" s="6" t="inlineStr">
        <is>
          <t>厨师工资</t>
        </is>
      </c>
      <c r="B10" s="12" t="n">
        <v>10000</v>
      </c>
      <c r="C10" s="13">
        <f>B10/B17</f>
        <v/>
      </c>
      <c r="D10" s="16" t="inlineStr">
        <is>
          <t>变动</t>
        </is>
      </c>
      <c r="E10" s="8" t="inlineStr">
        <is>
          <t>后厨核心人员</t>
        </is>
      </c>
    </row>
    <row r="11">
      <c r="A11" s="6" t="inlineStr">
        <is>
          <t>帮厨工资</t>
        </is>
      </c>
      <c r="B11" s="12" t="n">
        <v>6000</v>
      </c>
      <c r="C11" s="13">
        <f>B11/B17</f>
        <v/>
      </c>
      <c r="D11" s="16" t="inlineStr">
        <is>
          <t>变动</t>
        </is>
      </c>
      <c r="E11" s="8" t="inlineStr">
        <is>
          <t>后厨辅助</t>
        </is>
      </c>
    </row>
    <row r="12">
      <c r="A12" s="6" t="inlineStr">
        <is>
          <t>护理员工资（11人）</t>
        </is>
      </c>
      <c r="B12" s="12" t="n">
        <v>77000</v>
      </c>
      <c r="C12" s="13">
        <f>B12/B17</f>
        <v/>
      </c>
      <c r="D12" s="16" t="inlineStr">
        <is>
          <t>变动</t>
        </is>
      </c>
      <c r="E12" s="8" t="inlineStr">
        <is>
          <t>11×7000=77000</t>
        </is>
      </c>
    </row>
    <row r="13">
      <c r="A13" s="6" t="inlineStr">
        <is>
          <t>院长+副院长工资</t>
        </is>
      </c>
      <c r="B13" s="12" t="n">
        <v>20000</v>
      </c>
      <c r="C13" s="13">
        <f>B13/B17</f>
        <v/>
      </c>
      <c r="D13" s="16" t="inlineStr">
        <is>
          <t>固定</t>
        </is>
      </c>
      <c r="E13" s="8" t="inlineStr">
        <is>
          <t>管理层</t>
        </is>
      </c>
    </row>
    <row r="14">
      <c r="A14" s="6" t="inlineStr">
        <is>
          <t>食堂食材</t>
        </is>
      </c>
      <c r="B14" s="12" t="n">
        <v>20000</v>
      </c>
      <c r="C14" s="13">
        <f>B14/B17</f>
        <v/>
      </c>
      <c r="D14" s="16" t="inlineStr">
        <is>
          <t>变动</t>
        </is>
      </c>
      <c r="E14" s="8" t="inlineStr">
        <is>
          <t>50人食材</t>
        </is>
      </c>
    </row>
    <row r="15">
      <c r="A15" s="6" t="inlineStr">
        <is>
          <t>餐具厨房用品消耗</t>
        </is>
      </c>
      <c r="B15" s="12" t="n">
        <v>833</v>
      </c>
      <c r="C15" s="13">
        <f>B15/B17</f>
        <v/>
      </c>
      <c r="D15" s="16" t="inlineStr">
        <is>
          <t>变动</t>
        </is>
      </c>
      <c r="E15" s="8" t="inlineStr">
        <is>
          <t>年10000÷12</t>
        </is>
      </c>
    </row>
    <row r="16">
      <c r="A16" s="6" t="inlineStr">
        <is>
          <t>床品等物资</t>
        </is>
      </c>
      <c r="B16" s="12" t="n">
        <v>833</v>
      </c>
      <c r="C16" s="13">
        <f>B16/B17</f>
        <v/>
      </c>
      <c r="D16" s="16" t="inlineStr">
        <is>
          <t>固定</t>
        </is>
      </c>
      <c r="E16" s="8" t="inlineStr">
        <is>
          <t>年10000÷12</t>
        </is>
      </c>
    </row>
    <row r="17">
      <c r="A17" s="4" t="inlineStr">
        <is>
          <t>月总支出</t>
        </is>
      </c>
      <c r="B17" s="17">
        <f>SUM(B8:B16)</f>
        <v/>
      </c>
      <c r="C17" s="16" t="inlineStr">
        <is>
          <t>100%</t>
        </is>
      </c>
      <c r="D17" s="16" t="inlineStr">
        <is>
          <t>—</t>
        </is>
      </c>
      <c r="E17" s="13" t="inlineStr">
        <is>
          <t>自动求和</t>
        </is>
      </c>
    </row>
    <row r="19">
      <c r="A19" s="4" t="inlineStr">
        <is>
          <t>总床位数</t>
        </is>
      </c>
      <c r="B19" s="12" t="n">
        <v>50</v>
      </c>
    </row>
    <row r="20">
      <c r="A20" s="17" t="inlineStr">
        <is>
          <t>单床成本（元/月）</t>
        </is>
      </c>
      <c r="B20" s="10">
        <f>ROUND(B17/B19,0)</f>
        <v/>
      </c>
      <c r="C20" s="13">
        <f>单床成本</f>
        <v/>
      </c>
    </row>
    <row r="21">
      <c r="A21" s="17" t="inlineStr">
        <is>
          <t>单床成本（元/天）</t>
        </is>
      </c>
      <c r="B21" s="10">
        <f>ROUND(B20/30,0)</f>
        <v/>
      </c>
      <c r="C21" s="13" t="inlineStr">
        <is>
          <t>÷30天</t>
        </is>
      </c>
    </row>
    <row r="23">
      <c r="A23" s="2" t="inlineStr">
        <is>
          <t>📊 支出结构分析</t>
        </is>
      </c>
    </row>
    <row r="24">
      <c r="A24" s="6" t="inlineStr">
        <is>
          <t>工资合计</t>
        </is>
      </c>
      <c r="B24" s="8" t="inlineStr">
        <is>
          <t>113,000 元</t>
        </is>
      </c>
      <c r="D24" s="8" t="inlineStr">
        <is>
          <t>占总支出 78.1%（健康）</t>
        </is>
      </c>
    </row>
    <row r="25">
      <c r="A25" s="6" t="inlineStr">
        <is>
          <t>食材合计</t>
        </is>
      </c>
      <c r="B25" s="8" t="inlineStr">
        <is>
          <t>20,000 元</t>
        </is>
      </c>
      <c r="D25" s="8" t="inlineStr">
        <is>
          <t>占总支出 13.8%</t>
        </is>
      </c>
    </row>
    <row r="26">
      <c r="A26" s="6" t="inlineStr">
        <is>
          <t>房租+水电</t>
        </is>
      </c>
      <c r="B26" s="8" t="inlineStr">
        <is>
          <t>10,000 元</t>
        </is>
      </c>
      <c r="D26" s="8" t="inlineStr">
        <is>
          <t>占总支出 6.9%</t>
        </is>
      </c>
    </row>
    <row r="27">
      <c r="A27" s="6" t="inlineStr">
        <is>
          <t>餐具+床品</t>
        </is>
      </c>
      <c r="B27" s="8" t="inlineStr">
        <is>
          <t>1,666 元</t>
        </is>
      </c>
      <c r="D27" s="8" t="inlineStr">
        <is>
          <t>占总支出 1.2%</t>
        </is>
      </c>
    </row>
  </sheetData>
  <mergeCells count="14">
    <mergeCell ref="D25:E25"/>
    <mergeCell ref="B24:C24"/>
    <mergeCell ref="A4:E4"/>
    <mergeCell ref="D24:E24"/>
    <mergeCell ref="A2:E2"/>
    <mergeCell ref="B25:C25"/>
    <mergeCell ref="D27:E27"/>
    <mergeCell ref="A1:E1"/>
    <mergeCell ref="A23:E23"/>
    <mergeCell ref="B26:C26"/>
    <mergeCell ref="B27:C27"/>
    <mergeCell ref="A6:E6"/>
    <mergeCell ref="D26:E2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0" customWidth="1" min="4" max="4"/>
    <col width="28" customWidth="1" min="5" max="5"/>
  </cols>
  <sheetData>
    <row r="1" ht="36" customHeight="1">
      <c r="A1" s="1" t="inlineStr">
        <is>
          <t>月度收入 vs 支出（50 张床 · V05 完整版）</t>
        </is>
      </c>
    </row>
    <row r="2">
      <c r="A2" s="9" t="inlineStr">
        <is>
          <t>💰 月度收入</t>
        </is>
      </c>
    </row>
    <row r="3">
      <c r="A3" s="11" t="inlineStr">
        <is>
          <t>收入项</t>
        </is>
      </c>
      <c r="B3" s="11" t="inlineStr">
        <is>
          <t>单价</t>
        </is>
      </c>
      <c r="C3" s="11" t="inlineStr">
        <is>
          <t>人数</t>
        </is>
      </c>
      <c r="D3" s="11" t="inlineStr">
        <is>
          <t>金额</t>
        </is>
      </c>
      <c r="E3" s="11" t="inlineStr">
        <is>
          <t>说明</t>
        </is>
      </c>
    </row>
    <row r="4">
      <c r="A4" s="6" t="inlineStr">
        <is>
          <t>床位费</t>
        </is>
      </c>
      <c r="B4" s="12" t="n">
        <v>1200</v>
      </c>
      <c r="C4" s="12" t="n">
        <v>50</v>
      </c>
      <c r="D4" s="13">
        <f>B4*C4</f>
        <v/>
      </c>
      <c r="E4" s="8" t="inlineStr">
        <is>
          <t>全院 50 张床均收</t>
        </is>
      </c>
    </row>
    <row r="5">
      <c r="A5" s="6" t="inlineStr">
        <is>
          <t>餐费</t>
        </is>
      </c>
      <c r="B5" s="12" t="n">
        <v>900</v>
      </c>
      <c r="C5" s="12" t="n">
        <v>50</v>
      </c>
      <c r="D5" s="13">
        <f>B5*C5</f>
        <v/>
      </c>
      <c r="E5" s="8" t="inlineStr">
        <is>
          <t>50 位老人均收</t>
        </is>
      </c>
    </row>
    <row r="6">
      <c r="A6" s="6" t="inlineStr">
        <is>
          <t>护理费-自理</t>
        </is>
      </c>
      <c r="B6" s="12" t="n">
        <v>3500</v>
      </c>
      <c r="C6" s="12" t="n">
        <v>30</v>
      </c>
      <c r="D6" s="13">
        <f>B6*C6</f>
        <v/>
      </c>
      <c r="E6" s="8" t="inlineStr">
        <is>
          <t>自理 30 人</t>
        </is>
      </c>
    </row>
    <row r="7">
      <c r="A7" s="6" t="inlineStr">
        <is>
          <t>护理费-半护</t>
        </is>
      </c>
      <c r="B7" s="12" t="n">
        <v>4200</v>
      </c>
      <c r="C7" s="12" t="n">
        <v>10</v>
      </c>
      <c r="D7" s="13">
        <f>B7*C7</f>
        <v/>
      </c>
      <c r="E7" s="8" t="inlineStr">
        <is>
          <t>半护 10 人</t>
        </is>
      </c>
    </row>
    <row r="8">
      <c r="A8" s="6" t="inlineStr">
        <is>
          <t>护理费-全护</t>
        </is>
      </c>
      <c r="B8" s="12" t="n">
        <v>4560</v>
      </c>
      <c r="C8" s="12" t="n">
        <v>5</v>
      </c>
      <c r="D8" s="13">
        <f>B8*C8</f>
        <v/>
      </c>
      <c r="E8" s="8" t="inlineStr">
        <is>
          <t>全护 5 人</t>
        </is>
      </c>
    </row>
    <row r="9">
      <c r="A9" s="6" t="inlineStr">
        <is>
          <t>护理费-特护</t>
        </is>
      </c>
      <c r="B9" s="12" t="n">
        <v>5000</v>
      </c>
      <c r="C9" s="12" t="n">
        <v>5</v>
      </c>
      <c r="D9" s="13">
        <f>B9*C9</f>
        <v/>
      </c>
      <c r="E9" s="8" t="inlineStr">
        <is>
          <t>特护 5 人</t>
        </is>
      </c>
    </row>
    <row r="10">
      <c r="A10" s="6" t="inlineStr">
        <is>
          <t>供暖补贴</t>
        </is>
      </c>
      <c r="B10" s="12" t="n">
        <v>125</v>
      </c>
      <c r="C10" s="12" t="n">
        <v>50</v>
      </c>
      <c r="D10" s="13">
        <f>B10*C10</f>
        <v/>
      </c>
      <c r="E10" s="8" t="inlineStr">
        <is>
          <t>125元/人/月</t>
        </is>
      </c>
    </row>
    <row r="11">
      <c r="A11" s="10" t="inlineStr">
        <is>
          <t>月总收入</t>
        </is>
      </c>
      <c r="D11" s="10">
        <f>SUM(D4:D10)</f>
        <v/>
      </c>
    </row>
    <row r="13">
      <c r="A13" s="19" t="inlineStr">
        <is>
          <t>💸 月度支出（V05 完整版）</t>
        </is>
      </c>
    </row>
    <row r="14">
      <c r="A14" s="11" t="inlineStr">
        <is>
          <t>支出项</t>
        </is>
      </c>
      <c r="B14" s="11" t="inlineStr">
        <is>
          <t>金额</t>
        </is>
      </c>
      <c r="C14" s="11" t="inlineStr">
        <is>
          <t>类型</t>
        </is>
      </c>
      <c r="D14" s="11" t="inlineStr">
        <is>
          <t>占比</t>
        </is>
      </c>
      <c r="E14" s="11" t="inlineStr">
        <is>
          <t>说明</t>
        </is>
      </c>
    </row>
    <row r="15">
      <c r="A15" s="6" t="inlineStr">
        <is>
          <t>房租</t>
        </is>
      </c>
      <c r="B15" s="12" t="n">
        <v>5000</v>
      </c>
      <c r="C15" s="16" t="inlineStr">
        <is>
          <t>固定</t>
        </is>
      </c>
      <c r="D15" s="13">
        <f>B15/B24</f>
        <v/>
      </c>
      <c r="E15" s="8" t="inlineStr">
        <is>
          <t>固定支出</t>
        </is>
      </c>
    </row>
    <row r="16">
      <c r="A16" s="6" t="inlineStr">
        <is>
          <t>水电</t>
        </is>
      </c>
      <c r="B16" s="12" t="n">
        <v>5000</v>
      </c>
      <c r="C16" s="16" t="inlineStr">
        <is>
          <t>固定</t>
        </is>
      </c>
      <c r="D16" s="13">
        <f>B16/B24</f>
        <v/>
      </c>
      <c r="E16" s="8" t="inlineStr">
        <is>
          <t>固定支出</t>
        </is>
      </c>
    </row>
    <row r="17">
      <c r="A17" s="6" t="inlineStr">
        <is>
          <t>厨师工资</t>
        </is>
      </c>
      <c r="B17" s="12" t="n">
        <v>10000</v>
      </c>
      <c r="C17" s="16" t="inlineStr">
        <is>
          <t>变动</t>
        </is>
      </c>
      <c r="D17" s="13">
        <f>B17/B24</f>
        <v/>
      </c>
      <c r="E17" s="8" t="inlineStr">
        <is>
          <t>后厨核心</t>
        </is>
      </c>
    </row>
    <row r="18">
      <c r="A18" s="6" t="inlineStr">
        <is>
          <t>帮厨工资</t>
        </is>
      </c>
      <c r="B18" s="12" t="n">
        <v>6000</v>
      </c>
      <c r="C18" s="16" t="inlineStr">
        <is>
          <t>变动</t>
        </is>
      </c>
      <c r="D18" s="13">
        <f>B18/B24</f>
        <v/>
      </c>
      <c r="E18" s="8" t="inlineStr">
        <is>
          <t>后厨辅助</t>
        </is>
      </c>
    </row>
    <row r="19">
      <c r="A19" s="6" t="inlineStr">
        <is>
          <t>护理员工资（11人）</t>
        </is>
      </c>
      <c r="B19" s="12" t="n">
        <v>77000</v>
      </c>
      <c r="C19" s="16" t="inlineStr">
        <is>
          <t>变动</t>
        </is>
      </c>
      <c r="D19" s="13">
        <f>B19/B24</f>
        <v/>
      </c>
      <c r="E19" s="8" t="inlineStr">
        <is>
          <t>11×7000</t>
        </is>
      </c>
    </row>
    <row r="20">
      <c r="A20" s="6" t="inlineStr">
        <is>
          <t>院长+副院长工资</t>
        </is>
      </c>
      <c r="B20" s="12" t="n">
        <v>20000</v>
      </c>
      <c r="C20" s="16" t="inlineStr">
        <is>
          <t>固定</t>
        </is>
      </c>
      <c r="D20" s="13">
        <f>B20/B24</f>
        <v/>
      </c>
      <c r="E20" s="8" t="inlineStr">
        <is>
          <t>管理层</t>
        </is>
      </c>
    </row>
    <row r="21">
      <c r="A21" s="6" t="inlineStr">
        <is>
          <t>食堂食材</t>
        </is>
      </c>
      <c r="B21" s="12" t="n">
        <v>20000</v>
      </c>
      <c r="C21" s="16" t="inlineStr">
        <is>
          <t>变动</t>
        </is>
      </c>
      <c r="D21" s="13">
        <f>B21/B24</f>
        <v/>
      </c>
      <c r="E21" s="8" t="inlineStr">
        <is>
          <t>50 人食材</t>
        </is>
      </c>
    </row>
    <row r="22">
      <c r="A22" s="6" t="inlineStr">
        <is>
          <t>餐具厨房用品消耗</t>
        </is>
      </c>
      <c r="B22" s="12" t="n">
        <v>833</v>
      </c>
      <c r="C22" s="16" t="inlineStr">
        <is>
          <t>变动</t>
        </is>
      </c>
      <c r="D22" s="13">
        <f>B22/B24</f>
        <v/>
      </c>
      <c r="E22" s="8" t="inlineStr">
        <is>
          <t>年 10000 ÷ 12</t>
        </is>
      </c>
    </row>
    <row r="23">
      <c r="A23" s="6" t="inlineStr">
        <is>
          <t>床品等物资</t>
        </is>
      </c>
      <c r="B23" s="12" t="n">
        <v>833</v>
      </c>
      <c r="C23" s="16" t="inlineStr">
        <is>
          <t>固定</t>
        </is>
      </c>
      <c r="D23" s="13">
        <f>B23/B24</f>
        <v/>
      </c>
      <c r="E23" s="8" t="inlineStr">
        <is>
          <t>年 10000 ÷ 12</t>
        </is>
      </c>
    </row>
    <row r="24">
      <c r="A24" s="15" t="inlineStr">
        <is>
          <t>月总支出</t>
        </is>
      </c>
      <c r="B24" s="15">
        <f>SUM(B15:B23)</f>
        <v/>
      </c>
    </row>
    <row r="26">
      <c r="A26" s="20" t="inlineStr">
        <is>
          <t>📊 月利润（核心结果）</t>
        </is>
      </c>
    </row>
    <row r="27">
      <c r="A27" s="17" t="inlineStr">
        <is>
          <t>月利润</t>
        </is>
      </c>
      <c r="B27" s="10">
        <f>D11-B24</f>
        <v/>
      </c>
      <c r="C27" s="13">
        <f>收入-支出</f>
        <v/>
      </c>
    </row>
    <row r="28">
      <c r="A28" s="17" t="inlineStr">
        <is>
          <t>利润率</t>
        </is>
      </c>
      <c r="B28" s="10">
        <f>ROUND(B27/D11*100,1)</f>
        <v/>
      </c>
      <c r="C28" s="13">
        <f>利润/收入×100%</f>
        <v/>
      </c>
    </row>
    <row r="29">
      <c r="A29" s="21" t="inlineStr">
        <is>
          <t>✅ V05 状态</t>
        </is>
      </c>
      <c r="B29" s="22" t="inlineStr">
        <is>
          <t>利润率 52.7%，接近健康水平（50-55%），数据基本完整</t>
        </is>
      </c>
    </row>
  </sheetData>
  <mergeCells count="5">
    <mergeCell ref="A26:E26"/>
    <mergeCell ref="A2:E2"/>
    <mergeCell ref="B29:E29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25" customWidth="1" min="7" max="7"/>
  </cols>
  <sheetData>
    <row r="1" ht="36" customHeight="1">
      <c r="A1" s="1" t="inlineStr">
        <is>
          <t>分级别定价（综合收入对比 · V05）</t>
        </is>
      </c>
    </row>
    <row r="2">
      <c r="A2" s="2" t="inlineStr">
        <is>
          <t>💡 定价公式</t>
        </is>
      </c>
    </row>
    <row r="3">
      <c r="A3" s="17" t="inlineStr">
        <is>
          <t>分级综合收入 = 床位费 + 餐费 + 护理费</t>
        </is>
      </c>
    </row>
    <row r="5">
      <c r="A5" s="11" t="inlineStr">
        <is>
          <t>老人级别</t>
        </is>
      </c>
      <c r="B5" s="11" t="inlineStr">
        <is>
          <t>床位费</t>
        </is>
      </c>
      <c r="C5" s="11" t="inlineStr">
        <is>
          <t>餐费</t>
        </is>
      </c>
      <c r="D5" s="11" t="inlineStr">
        <is>
          <t>护理费</t>
        </is>
      </c>
      <c r="E5" s="11" t="inlineStr">
        <is>
          <t>综合收入</t>
        </is>
      </c>
      <c r="F5" s="11" t="inlineStr">
        <is>
          <t>vs 单床成本</t>
        </is>
      </c>
      <c r="G5" s="11" t="inlineStr">
        <is>
          <t>利润率</t>
        </is>
      </c>
    </row>
    <row r="6">
      <c r="A6" s="4" t="inlineStr">
        <is>
          <t>自理</t>
        </is>
      </c>
      <c r="B6" s="12" t="n">
        <v>1200</v>
      </c>
      <c r="C6" s="12" t="n">
        <v>900</v>
      </c>
      <c r="D6" s="12" t="n">
        <v>3500</v>
      </c>
      <c r="E6" s="13">
        <f>B6+C6+D6</f>
        <v/>
      </c>
      <c r="F6" s="10">
        <f>E6-2893</f>
        <v/>
      </c>
      <c r="G6" s="10">
        <f>ROUND(F6/2893*100,0)</f>
        <v/>
      </c>
    </row>
    <row r="7">
      <c r="A7" s="4" t="inlineStr">
        <is>
          <t>半护</t>
        </is>
      </c>
      <c r="B7" s="12" t="n">
        <v>1200</v>
      </c>
      <c r="C7" s="12" t="n">
        <v>900</v>
      </c>
      <c r="D7" s="12" t="n">
        <v>4200</v>
      </c>
      <c r="E7" s="13">
        <f>B7+C7+D7</f>
        <v/>
      </c>
      <c r="F7" s="10">
        <f>E7-2893</f>
        <v/>
      </c>
      <c r="G7" s="10">
        <f>ROUND(F7/2893*100,0)</f>
        <v/>
      </c>
    </row>
    <row r="8">
      <c r="A8" s="4" t="inlineStr">
        <is>
          <t>全护</t>
        </is>
      </c>
      <c r="B8" s="12" t="n">
        <v>1200</v>
      </c>
      <c r="C8" s="12" t="n">
        <v>900</v>
      </c>
      <c r="D8" s="12" t="n">
        <v>4560</v>
      </c>
      <c r="E8" s="13">
        <f>B8+C8+D8</f>
        <v/>
      </c>
      <c r="F8" s="10">
        <f>E8-2893</f>
        <v/>
      </c>
      <c r="G8" s="10">
        <f>ROUND(F8/2893*100,0)</f>
        <v/>
      </c>
    </row>
    <row r="9">
      <c r="A9" s="4" t="inlineStr">
        <is>
          <t>特护</t>
        </is>
      </c>
      <c r="B9" s="12" t="n">
        <v>1200</v>
      </c>
      <c r="C9" s="12" t="n">
        <v>900</v>
      </c>
      <c r="D9" s="12" t="n">
        <v>5000</v>
      </c>
      <c r="E9" s="13">
        <f>B9+C9+D9</f>
        <v/>
      </c>
      <c r="F9" s="10">
        <f>E9-2893</f>
        <v/>
      </c>
      <c r="G9" s="10">
        <f>ROUND(F9/2893*100,0)</f>
        <v/>
      </c>
    </row>
    <row r="11">
      <c r="A11" s="23" t="inlineStr">
        <is>
          <t>📋 关键洞察：单床成本提升至 2893 元</t>
        </is>
      </c>
    </row>
    <row r="12">
      <c r="A12" s="22" t="inlineStr">
        <is>
          <t>✅ 综合收入均超过单床成本，利润率健康（94%-145%）</t>
        </is>
      </c>
    </row>
  </sheetData>
  <mergeCells count="5">
    <mergeCell ref="A1:G1"/>
    <mergeCell ref="A3:G3"/>
    <mergeCell ref="A12:G12"/>
    <mergeCell ref="A2:G2"/>
    <mergeCell ref="A11:G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22" customWidth="1" min="5" max="5"/>
    <col width="25" customWidth="1" min="6" max="6"/>
  </cols>
  <sheetData>
    <row r="1" ht="36" customHeight="1">
      <c r="A1" s="1" t="inlineStr">
        <is>
          <t>高/中/低利润床位比例测算（50 张床）</t>
        </is>
      </c>
    </row>
    <row r="2">
      <c r="A2" s="2" t="inlineStr">
        <is>
          <t>💡 利润床位 3 分法</t>
        </is>
      </c>
    </row>
    <row r="3">
      <c r="A3" s="4" t="inlineStr">
        <is>
          <t>高利润床（特护）≥ 30% · 中利润床（全护+半护）≥ 40% · 低利润床（自理）≤ 30%</t>
        </is>
      </c>
    </row>
    <row r="5">
      <c r="A5" s="11" t="inlineStr">
        <is>
          <t>利润类型</t>
        </is>
      </c>
      <c r="B5" s="11" t="inlineStr">
        <is>
          <t>级别</t>
        </is>
      </c>
      <c r="C5" s="11" t="inlineStr">
        <is>
          <t>床位数</t>
        </is>
      </c>
      <c r="D5" s="11" t="inlineStr">
        <is>
          <t>占总床%</t>
        </is>
      </c>
      <c r="E5" s="11" t="inlineStr">
        <is>
          <t>月护理费收入</t>
        </is>
      </c>
      <c r="F5" s="11" t="inlineStr">
        <is>
          <t>说明</t>
        </is>
      </c>
    </row>
    <row r="6">
      <c r="A6" s="21" t="inlineStr">
        <is>
          <t>高利润</t>
        </is>
      </c>
      <c r="B6" s="16" t="inlineStr">
        <is>
          <t>特护</t>
        </is>
      </c>
      <c r="C6" s="12" t="n">
        <v>5</v>
      </c>
      <c r="D6" s="13">
        <f>C6/50</f>
        <v/>
      </c>
      <c r="E6" s="13">
        <f>C6*E6</f>
        <v/>
      </c>
      <c r="F6" s="16" t="inlineStr">
        <is>
          <t>应≥30%</t>
        </is>
      </c>
    </row>
    <row r="7">
      <c r="A7" s="24" t="inlineStr">
        <is>
          <t>中利润</t>
        </is>
      </c>
      <c r="B7" s="16" t="inlineStr">
        <is>
          <t>全护</t>
        </is>
      </c>
      <c r="C7" s="12" t="n">
        <v>5</v>
      </c>
      <c r="D7" s="13">
        <f>C7/50</f>
        <v/>
      </c>
      <c r="E7" s="13">
        <f>C7*E7</f>
        <v/>
      </c>
      <c r="F7" s="16" t="inlineStr">
        <is>
          <t>应≥40%</t>
        </is>
      </c>
    </row>
    <row r="8">
      <c r="A8" s="24" t="inlineStr">
        <is>
          <t>中利润</t>
        </is>
      </c>
      <c r="B8" s="16" t="inlineStr">
        <is>
          <t>半护</t>
        </is>
      </c>
      <c r="C8" s="12" t="n">
        <v>10</v>
      </c>
      <c r="D8" s="13">
        <f>C8/50</f>
        <v/>
      </c>
      <c r="E8" s="13">
        <f>C8*E8</f>
        <v/>
      </c>
      <c r="F8" s="16" t="inlineStr">
        <is>
          <t>应≥40%</t>
        </is>
      </c>
    </row>
    <row r="9">
      <c r="A9" s="25" t="inlineStr">
        <is>
          <t>低利润</t>
        </is>
      </c>
      <c r="B9" s="16" t="inlineStr">
        <is>
          <t>自理</t>
        </is>
      </c>
      <c r="C9" s="12" t="n">
        <v>30</v>
      </c>
      <c r="D9" s="13">
        <f>C9/50</f>
        <v/>
      </c>
      <c r="E9" s="13">
        <f>C9*E9</f>
        <v/>
      </c>
      <c r="F9" s="16" t="inlineStr">
        <is>
          <t>应≤30%</t>
        </is>
      </c>
    </row>
    <row r="10">
      <c r="A10" s="17" t="inlineStr">
        <is>
          <t>合计</t>
        </is>
      </c>
      <c r="C10" s="10">
        <f>SUM(C6:C9)</f>
        <v/>
      </c>
      <c r="D10" s="10" t="inlineStr">
        <is>
          <t>100%</t>
        </is>
      </c>
      <c r="E10" s="10">
        <f>SUM(E6:E9)</f>
        <v/>
      </c>
    </row>
    <row r="12">
      <c r="A12" s="2" t="inlineStr">
        <is>
          <t>📊 现状评估（vs 健康线）</t>
        </is>
      </c>
    </row>
    <row r="13">
      <c r="A13" s="4" t="inlineStr">
        <is>
          <t>高利润占比</t>
        </is>
      </c>
      <c r="B13" s="15" t="inlineStr">
        <is>
          <t>10.0%</t>
        </is>
      </c>
      <c r="C13" s="16" t="inlineStr">
        <is>
          <t>应≥30%，❌ 严重不足</t>
        </is>
      </c>
    </row>
    <row r="14">
      <c r="A14" s="4" t="inlineStr">
        <is>
          <t>中利润占比</t>
        </is>
      </c>
      <c r="B14" s="15" t="inlineStr">
        <is>
          <t>30.0%</t>
        </is>
      </c>
      <c r="C14" s="16" t="inlineStr">
        <is>
          <t>应≥40%，❌ 不足</t>
        </is>
      </c>
    </row>
    <row r="15">
      <c r="A15" s="4" t="inlineStr">
        <is>
          <t>低利润占比</t>
        </is>
      </c>
      <c r="B15" s="15" t="inlineStr">
        <is>
          <t>60.0%</t>
        </is>
      </c>
      <c r="C15" s="16" t="inlineStr">
        <is>
          <t>应≤30%，❌ 严重超标</t>
        </is>
      </c>
    </row>
    <row r="17">
      <c r="A17" s="9" t="inlineStr">
        <is>
          <t>✅ 改进方案：扩护理区 + 减少自理</t>
        </is>
      </c>
    </row>
    <row r="18">
      <c r="A18" s="6" t="inlineStr">
        <is>
          <t>目标 1：高利润床从 10% → 30%</t>
        </is>
      </c>
      <c r="B18" s="8" t="inlineStr">
        <is>
          <t>新增特护床 10 张（5→15 张）</t>
        </is>
      </c>
      <c r="E18" s="8" t="inlineStr">
        <is>
          <t>需新增 10 张失能床位</t>
        </is>
      </c>
    </row>
    <row r="19">
      <c r="A19" s="6" t="inlineStr">
        <is>
          <t>目标 2：中利润床从 30% → 40%</t>
        </is>
      </c>
      <c r="B19" s="8" t="inlineStr">
        <is>
          <t>新增全护/半护 5 张（15→20 张）</t>
        </is>
      </c>
      <c r="E19" s="8" t="inlineStr">
        <is>
          <t>需新增 5 张护理床位</t>
        </is>
      </c>
    </row>
    <row r="20">
      <c r="A20" s="6" t="inlineStr">
        <is>
          <t>目标 3：低利润床从 60% → 30%</t>
        </is>
      </c>
      <c r="B20" s="8" t="inlineStr">
        <is>
          <t>减少自理床 15 张（30→15 张）</t>
        </is>
      </c>
      <c r="E20" s="8" t="inlineStr">
        <is>
          <t>释放床位给护理</t>
        </is>
      </c>
    </row>
    <row r="21">
      <c r="A21" s="6" t="inlineStr">
        <is>
          <t>目标 4：床位费从 1200 提到 2000</t>
        </is>
      </c>
      <c r="B21" s="8" t="inlineStr">
        <is>
          <t>新增 800 元/床/月</t>
        </is>
      </c>
      <c r="E21" s="8" t="inlineStr">
        <is>
          <t>月增收 40,000 元</t>
        </is>
      </c>
    </row>
    <row r="22">
      <c r="A22" s="6" t="inlineStr">
        <is>
          <t>调整后总床位</t>
        </is>
      </c>
      <c r="B22" s="8" t="inlineStr">
        <is>
          <t>50 张 → 50 张（结构优化）</t>
        </is>
      </c>
      <c r="E22" s="8" t="inlineStr">
        <is>
          <t>月利润预计大幅提升</t>
        </is>
      </c>
    </row>
  </sheetData>
  <mergeCells count="15">
    <mergeCell ref="A2:F2"/>
    <mergeCell ref="B19:D19"/>
    <mergeCell ref="E20:F20"/>
    <mergeCell ref="E21:F21"/>
    <mergeCell ref="B22:D22"/>
    <mergeCell ref="A1:F1"/>
    <mergeCell ref="E19:F19"/>
    <mergeCell ref="B18:D18"/>
    <mergeCell ref="A17:F17"/>
    <mergeCell ref="A12:F12"/>
    <mergeCell ref="B21:D21"/>
    <mergeCell ref="E22:F22"/>
    <mergeCell ref="A3:F3"/>
    <mergeCell ref="E18:F18"/>
    <mergeCell ref="B20:D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8" customWidth="1" min="5" max="5"/>
    <col width="20" customWidth="1" min="6" max="6"/>
    <col width="20" customWidth="1" min="7" max="7"/>
  </cols>
  <sheetData>
    <row r="1" ht="36" customHeight="1">
      <c r="A1" s="1" t="inlineStr">
        <is>
          <t>护理工时核算（50 张床 · 11 护理员）</t>
        </is>
      </c>
    </row>
    <row r="2">
      <c r="A2" s="2" t="inlineStr">
        <is>
          <t>💡 工时公式</t>
        </is>
      </c>
    </row>
    <row r="3">
      <c r="A3" s="17" t="inlineStr">
        <is>
          <t>单老人日工时 = 基础 1.0h + 半护 +1h + 全护 +2h + 特护 +3h</t>
        </is>
      </c>
    </row>
    <row r="5">
      <c r="A5" s="11" t="inlineStr">
        <is>
          <t>级别</t>
        </is>
      </c>
      <c r="B5" s="11" t="inlineStr">
        <is>
          <t>基础工时</t>
        </is>
      </c>
      <c r="C5" s="11" t="inlineStr">
        <is>
          <t>等级加成</t>
        </is>
      </c>
      <c r="D5" s="11" t="inlineStr">
        <is>
          <t>单人日工时</t>
        </is>
      </c>
      <c r="E5" s="11" t="inlineStr">
        <is>
          <t>护理员日工时上限</t>
        </is>
      </c>
      <c r="F5" s="11" t="inlineStr">
        <is>
          <t>可照护人数</t>
        </is>
      </c>
      <c r="G5" s="11" t="inlineStr">
        <is>
          <t>1:陪比</t>
        </is>
      </c>
    </row>
    <row r="6">
      <c r="A6" s="4" t="inlineStr">
        <is>
          <t>自理</t>
        </is>
      </c>
      <c r="B6" s="12" t="n">
        <v>1</v>
      </c>
      <c r="C6" s="12" t="n">
        <v>0</v>
      </c>
      <c r="D6" s="13">
        <f>B6+C6</f>
        <v/>
      </c>
      <c r="E6" s="12" t="n">
        <v>8</v>
      </c>
      <c r="F6" s="13">
        <f>ROUND(E6/D6,1)</f>
        <v/>
      </c>
      <c r="G6" s="16" t="inlineStr">
        <is>
          <t>1:8.0</t>
        </is>
      </c>
    </row>
    <row r="7">
      <c r="A7" s="4" t="inlineStr">
        <is>
          <t>半护</t>
        </is>
      </c>
      <c r="B7" s="12" t="n">
        <v>1</v>
      </c>
      <c r="C7" s="12" t="n">
        <v>1</v>
      </c>
      <c r="D7" s="13">
        <f>B7+C7</f>
        <v/>
      </c>
      <c r="E7" s="12" t="n">
        <v>8</v>
      </c>
      <c r="F7" s="13">
        <f>ROUND(E7/D7,1)</f>
        <v/>
      </c>
      <c r="G7" s="16" t="inlineStr">
        <is>
          <t>1:4.0</t>
        </is>
      </c>
    </row>
    <row r="8">
      <c r="A8" s="4" t="inlineStr">
        <is>
          <t>全护</t>
        </is>
      </c>
      <c r="B8" s="12" t="n">
        <v>1</v>
      </c>
      <c r="C8" s="12" t="n">
        <v>2</v>
      </c>
      <c r="D8" s="13">
        <f>B8+C8</f>
        <v/>
      </c>
      <c r="E8" s="12" t="n">
        <v>8</v>
      </c>
      <c r="F8" s="13">
        <f>ROUND(E8/D8,1)</f>
        <v/>
      </c>
      <c r="G8" s="16" t="inlineStr">
        <is>
          <t>1:2.7</t>
        </is>
      </c>
    </row>
    <row r="9">
      <c r="A9" s="4" t="inlineStr">
        <is>
          <t>特护</t>
        </is>
      </c>
      <c r="B9" s="12" t="n">
        <v>1</v>
      </c>
      <c r="C9" s="12" t="n">
        <v>3</v>
      </c>
      <c r="D9" s="13">
        <f>B9+C9</f>
        <v/>
      </c>
      <c r="E9" s="12" t="n">
        <v>8</v>
      </c>
      <c r="F9" s="13">
        <f>ROUND(E9/D9,1)</f>
        <v/>
      </c>
      <c r="G9" s="16" t="inlineStr">
        <is>
          <t>1:2.0</t>
        </is>
      </c>
    </row>
    <row r="11">
      <c r="A11" s="2" t="inlineStr">
        <is>
          <t>📋 刘院长院现状测算（50 床：自理 30 + 半护 10 + 全护 5 + 特护 5）</t>
        </is>
      </c>
    </row>
    <row r="12">
      <c r="A12" s="11" t="inlineStr">
        <is>
          <t>级别</t>
        </is>
      </c>
      <c r="B12" s="11" t="inlineStr">
        <is>
          <t>人数</t>
        </is>
      </c>
      <c r="C12" s="11" t="inlineStr">
        <is>
          <t>单人日工时</t>
        </is>
      </c>
      <c r="D12" s="11" t="inlineStr">
        <is>
          <t>合计工时</t>
        </is>
      </c>
      <c r="E12" s="11" t="inlineStr">
        <is>
          <t>需要护理员</t>
        </is>
      </c>
      <c r="F12" s="11" t="inlineStr">
        <is>
          <t>实际配置</t>
        </is>
      </c>
      <c r="G12" s="11" t="inlineStr">
        <is>
          <t>评价</t>
        </is>
      </c>
    </row>
    <row r="13">
      <c r="A13" s="4" t="inlineStr">
        <is>
          <t>自理</t>
        </is>
      </c>
      <c r="B13" s="12" t="n">
        <v>30</v>
      </c>
      <c r="C13" s="12" t="n">
        <v>1</v>
      </c>
      <c r="D13" s="13">
        <f>B13*C13</f>
        <v/>
      </c>
    </row>
    <row r="14">
      <c r="A14" s="4" t="inlineStr">
        <is>
          <t>半护</t>
        </is>
      </c>
      <c r="B14" s="12" t="n">
        <v>10</v>
      </c>
      <c r="C14" s="12" t="n">
        <v>2</v>
      </c>
      <c r="D14" s="13">
        <f>B14*C14</f>
        <v/>
      </c>
    </row>
    <row r="15">
      <c r="A15" s="4" t="inlineStr">
        <is>
          <t>全护</t>
        </is>
      </c>
      <c r="B15" s="12" t="n">
        <v>5</v>
      </c>
      <c r="C15" s="12" t="n">
        <v>3</v>
      </c>
      <c r="D15" s="13">
        <f>B15*C15</f>
        <v/>
      </c>
    </row>
    <row r="16">
      <c r="A16" s="4" t="inlineStr">
        <is>
          <t>特护</t>
        </is>
      </c>
      <c r="B16" s="12" t="n">
        <v>5</v>
      </c>
      <c r="C16" s="12" t="n">
        <v>4</v>
      </c>
      <c r="D16" s="13">
        <f>B16*C16</f>
        <v/>
      </c>
    </row>
    <row r="17">
      <c r="A17" s="17" t="inlineStr">
        <is>
          <t>合计</t>
        </is>
      </c>
      <c r="D17" s="10" t="n">
        <v>85</v>
      </c>
      <c r="E17" s="10">
        <f>ROUND(D17/8,1)</f>
        <v/>
      </c>
      <c r="F17" s="12" t="inlineStr">
        <is>
          <t>11 人</t>
        </is>
      </c>
      <c r="G17" s="10" t="inlineStr">
        <is>
          <t>✅ 配置充足</t>
        </is>
      </c>
    </row>
    <row r="19" ht="36" customHeight="1">
      <c r="A19" s="26" t="inlineStr">
        <is>
          <t>✅ 关键发现：50 床合计需要 10.6 个护理员（白班 8h），刘院长院配 11 人——配置充足 ✅</t>
        </is>
      </c>
    </row>
    <row r="20">
      <c r="A20" s="27" t="inlineStr">
        <is>
          <t>工资支出 77,000 ÷ 11 人 = 7,000 元/人/月（合理区间 6000-8000）</t>
        </is>
      </c>
    </row>
    <row r="21">
      <c r="A21" s="28" t="inlineStr">
        <is>
          <t>📌 注意：白班 8h 配置充足，但 24h 三班倒需约 32 人——这 11 人应是 24h 三班配置</t>
        </is>
      </c>
    </row>
  </sheetData>
  <mergeCells count="7">
    <mergeCell ref="A1:G1"/>
    <mergeCell ref="A3:G3"/>
    <mergeCell ref="A21:G21"/>
    <mergeCell ref="A20:G20"/>
    <mergeCell ref="A2:G2"/>
    <mergeCell ref="A19:G19"/>
    <mergeCell ref="A11:G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0" customWidth="1" min="4" max="4"/>
    <col width="25" customWidth="1" min="5" max="5"/>
  </cols>
  <sheetData>
    <row r="1" ht="36" customHeight="1">
      <c r="A1" s="1" t="inlineStr">
        <is>
          <t>工资占总收入比（健康线：50-55%）</t>
        </is>
      </c>
    </row>
    <row r="2">
      <c r="A2" s="2" t="inlineStr">
        <is>
          <t>💡 公式</t>
        </is>
      </c>
    </row>
    <row r="3">
      <c r="A3" s="17" t="inlineStr">
        <is>
          <t>工资占比 = 月工资 ÷ 月总收入 × 100%</t>
        </is>
      </c>
    </row>
    <row r="5">
      <c r="A5" s="11" t="inlineStr">
        <is>
          <t>项目</t>
        </is>
      </c>
      <c r="B5" s="11" t="inlineStr">
        <is>
          <t>金额</t>
        </is>
      </c>
      <c r="C5" s="11" t="inlineStr">
        <is>
          <t>占比</t>
        </is>
      </c>
      <c r="D5" s="11" t="inlineStr">
        <is>
          <t>健康线</t>
        </is>
      </c>
      <c r="E5" s="11" t="inlineStr">
        <is>
          <t>评估</t>
        </is>
      </c>
    </row>
    <row r="6">
      <c r="A6" s="4" t="inlineStr">
        <is>
          <t>工资明细</t>
        </is>
      </c>
      <c r="B6" s="3" t="inlineStr"/>
      <c r="C6" s="3" t="inlineStr"/>
      <c r="D6" s="3" t="inlineStr"/>
      <c r="E6" s="3" t="inlineStr"/>
    </row>
    <row r="7">
      <c r="A7" s="6" t="inlineStr">
        <is>
          <t>厨师工资</t>
        </is>
      </c>
      <c r="B7" s="12" t="n">
        <v>10000</v>
      </c>
    </row>
    <row r="8">
      <c r="A8" s="6" t="inlineStr">
        <is>
          <t>帮厨工资</t>
        </is>
      </c>
      <c r="B8" s="12" t="n">
        <v>6000</v>
      </c>
    </row>
    <row r="9">
      <c r="A9" s="6" t="inlineStr">
        <is>
          <t>护理员工资</t>
        </is>
      </c>
      <c r="B9" s="12" t="n">
        <v>77000</v>
      </c>
    </row>
    <row r="10">
      <c r="A10" s="6" t="inlineStr">
        <is>
          <t>院长+副院长工资</t>
        </is>
      </c>
      <c r="B10" s="12" t="n">
        <v>20000</v>
      </c>
    </row>
    <row r="11">
      <c r="A11" s="4" t="inlineStr">
        <is>
          <t>月工资总额</t>
        </is>
      </c>
      <c r="B11" s="10">
        <f>SUM(B7:B10)</f>
        <v/>
      </c>
    </row>
    <row r="12">
      <c r="A12" s="4" t="inlineStr">
        <is>
          <t>月总收入</t>
        </is>
      </c>
      <c r="B12" s="12" t="n">
        <v>306050</v>
      </c>
    </row>
    <row r="13">
      <c r="A13" s="10" t="inlineStr">
        <is>
          <t>✅ 当前工资占比</t>
        </is>
      </c>
      <c r="B13" s="10">
        <f>ROUND(B11/B12*100,1)</f>
        <v/>
      </c>
      <c r="C13" s="16" t="inlineStr">
        <is>
          <t>%</t>
        </is>
      </c>
      <c r="D13" s="16" t="inlineStr">
        <is>
          <t>50-55%</t>
        </is>
      </c>
      <c r="E13" s="10" t="inlineStr">
        <is>
          <t>✅ 接近健康</t>
        </is>
      </c>
    </row>
    <row r="15">
      <c r="A15" s="2" t="inlineStr">
        <is>
          <t>📊 工资结构分析</t>
        </is>
      </c>
    </row>
    <row r="16">
      <c r="A16" s="6" t="inlineStr">
        <is>
          <t>护理员工资</t>
        </is>
      </c>
      <c r="B16" s="8" t="inlineStr">
        <is>
          <t>77,000 元/月</t>
        </is>
      </c>
      <c r="D16" s="8" t="inlineStr">
        <is>
          <t>占工资总额 68.1%（最大项）</t>
        </is>
      </c>
    </row>
    <row r="17">
      <c r="A17" s="6" t="inlineStr">
        <is>
          <t>院长+副院长</t>
        </is>
      </c>
      <c r="B17" s="8" t="inlineStr">
        <is>
          <t>20,000 元/月</t>
        </is>
      </c>
      <c r="D17" s="8" t="inlineStr">
        <is>
          <t>占工资总额 17.7%</t>
        </is>
      </c>
    </row>
    <row r="18">
      <c r="A18" s="6" t="inlineStr">
        <is>
          <t>厨师+帮厨</t>
        </is>
      </c>
      <c r="B18" s="8" t="inlineStr">
        <is>
          <t>16,000 元/月</t>
        </is>
      </c>
      <c r="D18" s="8" t="inlineStr">
        <is>
          <t>占工资总额 14.2%</t>
        </is>
      </c>
    </row>
    <row r="19">
      <c r="A19" s="6" t="inlineStr">
        <is>
          <t>人均工资</t>
        </is>
      </c>
      <c r="B19" s="8" t="inlineStr">
        <is>
          <t>11 人 × 7000 = 77000</t>
        </is>
      </c>
      <c r="D19" s="8" t="inlineStr">
        <is>
          <t>护理员工资合理</t>
        </is>
      </c>
    </row>
  </sheetData>
  <mergeCells count="12">
    <mergeCell ref="D18:E18"/>
    <mergeCell ref="D16:E16"/>
    <mergeCell ref="B16:C16"/>
    <mergeCell ref="A2:E2"/>
    <mergeCell ref="A15:E15"/>
    <mergeCell ref="B19:C19"/>
    <mergeCell ref="D19:E19"/>
    <mergeCell ref="A1:E1"/>
    <mergeCell ref="B17:C17"/>
    <mergeCell ref="B18:C18"/>
    <mergeCell ref="D17:E1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25" customWidth="1" min="5" max="5"/>
  </cols>
  <sheetData>
    <row r="1" ht="36" customHeight="1">
      <c r="A1" s="1" t="inlineStr">
        <is>
          <t>食堂成本拆分（V05 完整版）</t>
        </is>
      </c>
    </row>
    <row r="2">
      <c r="A2" s="29" t="inlineStr">
        <is>
          <t>💡 食堂成本 = 后厨工资 + 食材 + 餐具消耗</t>
        </is>
      </c>
    </row>
    <row r="4">
      <c r="A4" s="11" t="inlineStr">
        <is>
          <t>项目</t>
        </is>
      </c>
      <c r="B4" s="11" t="inlineStr">
        <is>
          <t>金额(元/月)</t>
        </is>
      </c>
      <c r="C4" s="11" t="inlineStr">
        <is>
          <t>说明</t>
        </is>
      </c>
      <c r="D4" s="11" t="inlineStr">
        <is>
          <t>公式</t>
        </is>
      </c>
      <c r="E4" s="11" t="inlineStr">
        <is>
          <t>评估</t>
        </is>
      </c>
    </row>
    <row r="5">
      <c r="A5" s="6" t="inlineStr">
        <is>
          <t>食材成本</t>
        </is>
      </c>
      <c r="B5" s="12" t="n">
        <v>20000</v>
      </c>
      <c r="C5" s="8" t="inlineStr">
        <is>
          <t>肉禽蛋奶等</t>
        </is>
      </c>
      <c r="D5" s="13" t="inlineStr">
        <is>
          <t>—</t>
        </is>
      </c>
      <c r="E5" s="10" t="inlineStr">
        <is>
          <t>✅ 已计入</t>
        </is>
      </c>
    </row>
    <row r="6">
      <c r="A6" s="6" t="inlineStr">
        <is>
          <t>厨师工资</t>
        </is>
      </c>
      <c r="B6" s="12" t="n">
        <v>10000</v>
      </c>
      <c r="C6" s="8" t="inlineStr">
        <is>
          <t>后厨核心</t>
        </is>
      </c>
      <c r="D6" s="13" t="inlineStr">
        <is>
          <t>1 人</t>
        </is>
      </c>
      <c r="E6" s="10" t="inlineStr">
        <is>
          <t>✅ 已计入</t>
        </is>
      </c>
    </row>
    <row r="7">
      <c r="A7" s="6" t="inlineStr">
        <is>
          <t>帮厨工资</t>
        </is>
      </c>
      <c r="B7" s="12" t="n">
        <v>6000</v>
      </c>
      <c r="C7" s="8" t="inlineStr">
        <is>
          <t>后厨辅助</t>
        </is>
      </c>
      <c r="D7" s="13" t="inlineStr">
        <is>
          <t>1 人</t>
        </is>
      </c>
      <c r="E7" s="10" t="inlineStr">
        <is>
          <t>✅ 已计入</t>
        </is>
      </c>
    </row>
    <row r="8">
      <c r="A8" s="6" t="inlineStr">
        <is>
          <t>餐具厨房用品消耗</t>
        </is>
      </c>
      <c r="B8" s="12" t="n">
        <v>833</v>
      </c>
      <c r="C8" s="8" t="inlineStr">
        <is>
          <t>年 10000 ÷ 12</t>
        </is>
      </c>
      <c r="D8" s="13" t="inlineStr">
        <is>
          <t>—</t>
        </is>
      </c>
      <c r="E8" s="10" t="inlineStr">
        <is>
          <t>✅ 已计入</t>
        </is>
      </c>
    </row>
    <row r="9">
      <c r="A9" s="6" t="inlineStr">
        <is>
          <t>餐费总收入</t>
        </is>
      </c>
      <c r="B9" s="12" t="n">
        <v>45000</v>
      </c>
      <c r="C9" s="8" t="inlineStr">
        <is>
          <t>50 人 × 900</t>
        </is>
      </c>
      <c r="D9" s="13">
        <f>50×900</f>
        <v/>
      </c>
      <c r="E9" s="10" t="inlineStr">
        <is>
          <t>✅ 收入正常</t>
        </is>
      </c>
    </row>
    <row r="10">
      <c r="A10" s="6" t="inlineStr">
        <is>
          <t>食堂合计成本</t>
        </is>
      </c>
      <c r="B10" s="12" t="n">
        <v>36833</v>
      </c>
      <c r="C10" s="8" t="inlineStr">
        <is>
          <t>食材+厨师+帮厨+餐具</t>
        </is>
      </c>
      <c r="D10" s="13">
        <f> 20000+10000+6000+833</f>
        <v/>
      </c>
      <c r="E10" s="7" t="inlineStr">
        <is>
          <t>—</t>
        </is>
      </c>
    </row>
    <row r="11">
      <c r="A11" s="6" t="inlineStr">
        <is>
          <t>食堂盈亏</t>
        </is>
      </c>
      <c r="B11" s="12" t="n">
        <v>8167</v>
      </c>
      <c r="C11" s="8" t="inlineStr">
        <is>
          <t>收入-成本</t>
        </is>
      </c>
      <c r="D11" s="13">
        <f> 45000-36833</f>
        <v/>
      </c>
      <c r="E11" s="10" t="inlineStr">
        <is>
          <t>✅ 月盈 8167</t>
        </is>
      </c>
    </row>
    <row r="12">
      <c r="A12" s="6" t="inlineStr">
        <is>
          <t>食材人均</t>
        </is>
      </c>
      <c r="B12" s="12" t="n">
        <v>400</v>
      </c>
      <c r="C12" s="8" t="inlineStr">
        <is>
          <t>20000÷50 人</t>
        </is>
      </c>
      <c r="D12" s="13" t="inlineStr">
        <is>
          <t>13.3 元/天</t>
        </is>
      </c>
      <c r="E12" s="7" t="inlineStr">
        <is>
          <t>⚠️ 仍偏低</t>
        </is>
      </c>
    </row>
    <row r="13">
      <c r="A13" s="6" t="inlineStr">
        <is>
          <t>市场参考人均食材</t>
        </is>
      </c>
      <c r="B13" s="12" t="n">
        <v>1500</v>
      </c>
      <c r="C13" s="8" t="inlineStr">
        <is>
          <t>按 50 元/天 × 30 天</t>
        </is>
      </c>
      <c r="D13" s="13" t="inlineStr">
        <is>
          <t>行业标准</t>
        </is>
      </c>
      <c r="E13" s="7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36" customHeight="1">
      <c r="A1" s="1" t="inlineStr">
        <is>
          <t>6 步结构优化方案（执行清单）</t>
        </is>
      </c>
    </row>
    <row r="2">
      <c r="A2" s="11" t="inlineStr">
        <is>
          <t>序号</t>
        </is>
      </c>
      <c r="B2" s="11" t="inlineStr">
        <is>
          <t>动作</t>
        </is>
      </c>
      <c r="C2" s="11" t="inlineStr">
        <is>
          <t>负责人</t>
        </is>
      </c>
      <c r="D2" s="11" t="inlineStr">
        <is>
          <t>完成时间</t>
        </is>
      </c>
      <c r="E2" s="11" t="inlineStr">
        <is>
          <t>预估效果</t>
        </is>
      </c>
      <c r="F2" s="11" t="inlineStr">
        <is>
          <t>判定标准</t>
        </is>
      </c>
    </row>
    <row r="3">
      <c r="A3" s="4" t="n">
        <v>1</v>
      </c>
      <c r="B3" s="8" t="inlineStr">
        <is>
          <t>数据验证：核对 V05 数据真实性</t>
        </is>
      </c>
      <c r="C3" s="16" t="inlineStr">
        <is>
          <t>院长</t>
        </is>
      </c>
      <c r="D3" s="16" t="inlineStr">
        <is>
          <t>立即</t>
        </is>
      </c>
      <c r="E3" s="10" t="inlineStr">
        <is>
          <t>确认 V05 数据准确</t>
        </is>
      </c>
      <c r="F3" s="8" t="inlineStr">
        <is>
          <t>利润率 52.7%</t>
        </is>
      </c>
    </row>
    <row r="4">
      <c r="A4" s="4" t="n">
        <v>2</v>
      </c>
      <c r="B4" s="8" t="inlineStr">
        <is>
          <t>床位费调到 2000 元/月</t>
        </is>
      </c>
      <c r="C4" s="16" t="inlineStr">
        <is>
          <t>院长</t>
        </is>
      </c>
      <c r="D4" s="16" t="inlineStr">
        <is>
          <t>1 个月内</t>
        </is>
      </c>
      <c r="E4" s="10" t="inlineStr">
        <is>
          <t>+ 4 万/月收入</t>
        </is>
      </c>
      <c r="F4" s="8" t="inlineStr">
        <is>
          <t>新签合同按 2000</t>
        </is>
      </c>
    </row>
    <row r="5">
      <c r="A5" s="4" t="n">
        <v>3</v>
      </c>
      <c r="B5" s="8" t="inlineStr">
        <is>
          <t>扩特护：新增 10 张特护床</t>
        </is>
      </c>
      <c r="C5" s="16" t="inlineStr">
        <is>
          <t>院长</t>
        </is>
      </c>
      <c r="D5" s="16" t="inlineStr">
        <is>
          <t>3 个月内</t>
        </is>
      </c>
      <c r="E5" s="10" t="inlineStr">
        <is>
          <t>+ 5 万/月收入</t>
        </is>
      </c>
      <c r="F5" s="8" t="inlineStr">
        <is>
          <t>特护床 ≥ 30%</t>
        </is>
      </c>
    </row>
    <row r="6">
      <c r="A6" s="4" t="n">
        <v>4</v>
      </c>
      <c r="B6" s="8" t="inlineStr">
        <is>
          <t>扩全护半护：新增 5 张护理床</t>
        </is>
      </c>
      <c r="C6" s="16" t="inlineStr">
        <is>
          <t>院长</t>
        </is>
      </c>
      <c r="D6" s="16" t="inlineStr">
        <is>
          <t>3 个月内</t>
        </is>
      </c>
      <c r="E6" s="10" t="inlineStr">
        <is>
          <t>+ 2.2 万/月收入</t>
        </is>
      </c>
      <c r="F6" s="8" t="inlineStr">
        <is>
          <t>护理床 ≥ 40%</t>
        </is>
      </c>
    </row>
    <row r="7">
      <c r="A7" s="4" t="n">
        <v>5</v>
      </c>
      <c r="B7" s="8" t="inlineStr">
        <is>
          <t>减自理床：从 30 张减到 15 张</t>
        </is>
      </c>
      <c r="C7" s="16" t="inlineStr">
        <is>
          <t>院长</t>
        </is>
      </c>
      <c r="D7" s="16" t="inlineStr">
        <is>
          <t>6 个月内</t>
        </is>
      </c>
      <c r="E7" s="10" t="inlineStr">
        <is>
          <t>结构优化</t>
        </is>
      </c>
      <c r="F7" s="8" t="inlineStr">
        <is>
          <t>自理床 ≤ 30%</t>
        </is>
      </c>
    </row>
    <row r="8">
      <c r="A8" s="4" t="n">
        <v>6</v>
      </c>
      <c r="B8" s="8" t="inlineStr">
        <is>
          <t>建立月度核算 + 数据看板</t>
        </is>
      </c>
      <c r="C8" s="16" t="inlineStr">
        <is>
          <t>院长</t>
        </is>
      </c>
      <c r="D8" s="16" t="inlineStr">
        <is>
          <t>每月固定</t>
        </is>
      </c>
      <c r="E8" s="10" t="inlineStr">
        <is>
          <t>持续优化</t>
        </is>
      </c>
      <c r="F8" s="8" t="inlineStr">
        <is>
          <t>利润率 40-50%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</cols>
  <sheetData>
    <row r="1" ht="36" customHeight="1">
      <c r="A1" s="1" t="inlineStr">
        <is>
          <t>数据录入模板（每月固定填写）</t>
        </is>
      </c>
    </row>
    <row r="2">
      <c r="A2" s="2" t="inlineStr">
        <is>
          <t>🏢 院基本信息</t>
        </is>
      </c>
    </row>
    <row r="3">
      <c r="A3" s="11" t="inlineStr">
        <is>
          <t>项目</t>
        </is>
      </c>
      <c r="B3" s="11" t="inlineStr">
        <is>
          <t>数值</t>
        </is>
      </c>
      <c r="C3" s="11" t="inlineStr">
        <is>
          <t>项目</t>
        </is>
      </c>
      <c r="D3" s="11" t="inlineStr">
        <is>
          <t>数值</t>
        </is>
      </c>
    </row>
    <row r="4">
      <c r="A4" s="4" t="inlineStr">
        <is>
          <t>月份</t>
        </is>
      </c>
      <c r="B4" s="12" t="inlineStr">
        <is>
          <t>2026-__</t>
        </is>
      </c>
      <c r="C4" s="4" t="inlineStr">
        <is>
          <t>床位数</t>
        </is>
      </c>
      <c r="D4" s="12" t="n">
        <v>50</v>
      </c>
    </row>
    <row r="5">
      <c r="A5" s="4" t="inlineStr">
        <is>
          <t>入住老人数</t>
        </is>
      </c>
      <c r="B5" s="12" t="n">
        <v>50</v>
      </c>
      <c r="C5" s="4" t="inlineStr">
        <is>
          <t>其中：自理</t>
        </is>
      </c>
      <c r="D5" s="12" t="n">
        <v>30</v>
      </c>
    </row>
    <row r="6">
      <c r="A6" s="4" t="inlineStr">
        <is>
          <t>其中：半护</t>
        </is>
      </c>
      <c r="B6" s="12" t="n">
        <v>10</v>
      </c>
      <c r="C6" s="4" t="inlineStr">
        <is>
          <t>其中：全护</t>
        </is>
      </c>
      <c r="D6" s="12" t="n">
        <v>5</v>
      </c>
    </row>
    <row r="7">
      <c r="A7" s="4" t="inlineStr">
        <is>
          <t>其中：特护</t>
        </is>
      </c>
      <c r="B7" s="12" t="n">
        <v>5</v>
      </c>
      <c r="C7" s="4" t="inlineStr"/>
      <c r="D7" s="12" t="inlineStr"/>
    </row>
    <row r="9">
      <c r="A9" s="9" t="inlineStr">
        <is>
          <t>💰 月度收入</t>
        </is>
      </c>
    </row>
    <row r="10">
      <c r="A10" s="11" t="inlineStr">
        <is>
          <t>收入项</t>
        </is>
      </c>
      <c r="B10" s="11" t="inlineStr">
        <is>
          <t>金额</t>
        </is>
      </c>
      <c r="C10" s="11" t="inlineStr">
        <is>
          <t>收入项</t>
        </is>
      </c>
      <c r="D10" s="11" t="inlineStr">
        <is>
          <t>金额</t>
        </is>
      </c>
    </row>
    <row r="11">
      <c r="A11" s="4" t="inlineStr">
        <is>
          <t>床位费总额</t>
        </is>
      </c>
      <c r="B11" s="12" t="n">
        <v>60000</v>
      </c>
      <c r="C11" s="4" t="inlineStr">
        <is>
          <t>餐费总额</t>
        </is>
      </c>
      <c r="D11" s="12" t="n">
        <v>45000</v>
      </c>
    </row>
    <row r="12">
      <c r="A12" s="4" t="inlineStr">
        <is>
          <t>护理费总额</t>
        </is>
      </c>
      <c r="B12" s="12" t="n">
        <v>194800</v>
      </c>
      <c r="C12" s="4" t="inlineStr">
        <is>
          <t>供暖补贴</t>
        </is>
      </c>
      <c r="D12" s="12" t="n">
        <v>6250</v>
      </c>
    </row>
    <row r="13">
      <c r="A13" s="4" t="inlineStr">
        <is>
          <t>补贴等其他</t>
        </is>
      </c>
      <c r="B13" s="12" t="n">
        <v>0</v>
      </c>
      <c r="C13" s="4" t="inlineStr"/>
      <c r="D13" s="12" t="inlineStr"/>
    </row>
    <row r="15">
      <c r="A15" s="19" t="inlineStr">
        <is>
          <t>💸 月度支出（V05 完整版）</t>
        </is>
      </c>
    </row>
    <row r="16">
      <c r="A16" s="11" t="inlineStr">
        <is>
          <t>支出项</t>
        </is>
      </c>
      <c r="B16" s="11" t="inlineStr">
        <is>
          <t>金额</t>
        </is>
      </c>
      <c r="C16" s="11" t="inlineStr">
        <is>
          <t>支出项</t>
        </is>
      </c>
      <c r="D16" s="11" t="inlineStr">
        <is>
          <t>金额</t>
        </is>
      </c>
    </row>
    <row r="17">
      <c r="A17" s="4" t="inlineStr">
        <is>
          <t>房租</t>
        </is>
      </c>
      <c r="B17" s="12" t="n">
        <v>5000</v>
      </c>
      <c r="C17" s="4" t="inlineStr">
        <is>
          <t>水电</t>
        </is>
      </c>
      <c r="D17" s="12" t="n">
        <v>5000</v>
      </c>
    </row>
    <row r="18">
      <c r="A18" s="4" t="inlineStr">
        <is>
          <t>厨师工资</t>
        </is>
      </c>
      <c r="B18" s="12" t="n">
        <v>10000</v>
      </c>
      <c r="C18" s="4" t="inlineStr">
        <is>
          <t>帮厨工资</t>
        </is>
      </c>
      <c r="D18" s="12" t="n">
        <v>6000</v>
      </c>
    </row>
    <row r="19">
      <c r="A19" s="4" t="inlineStr">
        <is>
          <t>护理员工资（11人）</t>
        </is>
      </c>
      <c r="B19" s="12" t="n">
        <v>77000</v>
      </c>
      <c r="C19" s="4" t="inlineStr">
        <is>
          <t>院长+副院长工资</t>
        </is>
      </c>
      <c r="D19" s="12" t="n">
        <v>20000</v>
      </c>
    </row>
    <row r="20">
      <c r="A20" s="4" t="inlineStr">
        <is>
          <t>食堂食材</t>
        </is>
      </c>
      <c r="B20" s="12" t="n">
        <v>20000</v>
      </c>
      <c r="C20" s="4" t="inlineStr">
        <is>
          <t>餐具厨房用品</t>
        </is>
      </c>
      <c r="D20" s="12" t="n">
        <v>833</v>
      </c>
    </row>
    <row r="21">
      <c r="A21" s="4" t="inlineStr">
        <is>
          <t>床品等物资</t>
        </is>
      </c>
      <c r="B21" s="12" t="n">
        <v>833</v>
      </c>
      <c r="C21" s="4" t="inlineStr"/>
      <c r="D21" s="12" t="inlineStr"/>
    </row>
  </sheetData>
  <mergeCells count="4">
    <mergeCell ref="A1:D1"/>
    <mergeCell ref="A9:D9"/>
    <mergeCell ref="A2:D2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</cols>
  <sheetData>
    <row r="1" ht="36" customHeight="1">
      <c r="A1" s="1" t="inlineStr">
        <is>
          <t>公式原理（为什么这样算）</t>
        </is>
      </c>
    </row>
    <row r="2">
      <c r="A2" s="11" t="inlineStr">
        <is>
          <t>公式</t>
        </is>
      </c>
      <c r="B2" s="11" t="inlineStr">
        <is>
          <t>为什么这样算</t>
        </is>
      </c>
      <c r="C2" s="11" t="inlineStr">
        <is>
          <t>生活类比</t>
        </is>
      </c>
    </row>
    <row r="3" ht="45" customHeight="1">
      <c r="A3" s="6" t="inlineStr">
        <is>
          <t>单床成本 = 月总支出 ÷ 总床数</t>
        </is>
      </c>
      <c r="B3" s="8" t="inlineStr">
        <is>
          <t>50 张床共同承担月支出，平均每张床分摊</t>
        </is>
      </c>
      <c r="C3" s="8" t="inlineStr">
        <is>
          <t>50 人合租 1 栋楼，月租 14.5 万，每人分摊 2893 元</t>
        </is>
      </c>
    </row>
    <row r="4" ht="45" customHeight="1">
      <c r="A4" s="6" t="inlineStr">
        <is>
          <t>分级综合收入 = 床位费 + 餐费 + 护理费</t>
        </is>
      </c>
      <c r="B4" s="8" t="inlineStr">
        <is>
          <t>按难度系数区分定价，护理员工时差异决定价格差异</t>
        </is>
      </c>
      <c r="C4" s="8" t="inlineStr">
        <is>
          <t>酒店单人间/大床房/套房/总统套房 4 档</t>
        </is>
      </c>
    </row>
    <row r="5" ht="45" customHeight="1">
      <c r="A5" s="6" t="inlineStr">
        <is>
          <t>利润床位比例 = 高/中/低利润床结构</t>
        </is>
      </c>
      <c r="B5" s="8" t="inlineStr">
        <is>
          <t>高利润床拉高整体利润，低利润床保证入住率</t>
        </is>
      </c>
      <c r="C5" s="8" t="inlineStr">
        <is>
          <t>电商爆款引流 + 利润款赚钱</t>
        </is>
      </c>
    </row>
    <row r="6" ht="45" customHeight="1">
      <c r="A6" s="6" t="inlineStr">
        <is>
          <t>工资占比 = 月工资 ÷ 月总收入</t>
        </is>
      </c>
      <c r="B6" s="8" t="inlineStr">
        <is>
          <t>工资是变动成本最大项，占比决定利润率</t>
        </is>
      </c>
      <c r="C6" s="8" t="inlineStr">
        <is>
          <t>餐饮店房租不能超过营收 20%</t>
        </is>
      </c>
    </row>
    <row r="7" ht="45" customHeight="1">
      <c r="A7" s="6" t="inlineStr">
        <is>
          <t>单老人日工时 = 基础 1.0h + 等级加成</t>
        </is>
      </c>
      <c r="B7" s="8" t="inlineStr">
        <is>
          <t>护理员 8h/天，按等级照护不同数量老人</t>
        </is>
      </c>
      <c r="C7" s="8" t="inlineStr">
        <is>
          <t>1 个老师 8 节课，可教 8/4/2.7/2 个班</t>
        </is>
      </c>
    </row>
  </sheetData>
  <mergeCells count="1">
    <mergeCell ref="A1:C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2" customWidth="1" min="5" max="5"/>
  </cols>
  <sheetData>
    <row r="1" ht="36" customHeight="1">
      <c r="A1" s="1" t="inlineStr">
        <is>
          <t>V05 数据核查清单（剩余异常项）</t>
        </is>
      </c>
    </row>
    <row r="2">
      <c r="A2" s="11" t="inlineStr">
        <is>
          <t>#</t>
        </is>
      </c>
      <c r="B2" s="11" t="inlineStr">
        <is>
          <t>异常项</t>
        </is>
      </c>
      <c r="C2" s="11" t="inlineStr">
        <is>
          <t>当前数据</t>
        </is>
      </c>
      <c r="D2" s="11" t="inlineStr">
        <is>
          <t>建议核查</t>
        </is>
      </c>
      <c r="E2" s="11" t="inlineStr">
        <is>
          <t>紧急度</t>
        </is>
      </c>
    </row>
    <row r="3" ht="40" customHeight="1">
      <c r="A3" s="4" t="n">
        <v>1</v>
      </c>
      <c r="B3" s="30" t="inlineStr">
        <is>
          <t>食材仍偏低</t>
        </is>
      </c>
      <c r="C3" s="31" t="inlineStr">
        <is>
          <t>20000 ÷ 50 人 ÷ 30 天 = 13.3 元/天，行业 50 元/天</t>
        </is>
      </c>
      <c r="D3" s="27" t="inlineStr">
        <is>
          <t>按 50 元/天 × 50 人 × 30 天 = 7.5 万</t>
        </is>
      </c>
      <c r="E3" s="7" t="inlineStr">
        <is>
          <t>🟡 重要</t>
        </is>
      </c>
    </row>
    <row r="4" ht="40" customHeight="1">
      <c r="A4" s="4" t="n">
        <v>2</v>
      </c>
      <c r="B4" s="30" t="inlineStr">
        <is>
          <t>床位费严重低估</t>
        </is>
      </c>
      <c r="C4" s="31" t="inlineStr">
        <is>
          <t>1200 ÷ 50 床 = 24 元/床/天，远低于行业 40-50 元</t>
        </is>
      </c>
      <c r="D4" s="27" t="inlineStr">
        <is>
          <t>建议提到 2000-2500 元/月</t>
        </is>
      </c>
      <c r="E4" s="7" t="inlineStr">
        <is>
          <t>🟡 重要</t>
        </is>
      </c>
    </row>
    <row r="5" ht="40" customHeight="1">
      <c r="A5" s="4" t="n">
        <v>3</v>
      </c>
      <c r="B5" s="30" t="inlineStr">
        <is>
          <t>床位结构失衡</t>
        </is>
      </c>
      <c r="C5" s="31" t="inlineStr">
        <is>
          <t>自理 60% 严重超标（健康线 ≤ 30%）</t>
        </is>
      </c>
      <c r="D5" s="27" t="inlineStr">
        <is>
          <t>扩护理区或减自理床</t>
        </is>
      </c>
      <c r="E5" s="7" t="inlineStr">
        <is>
          <t>🟡 重要</t>
        </is>
      </c>
    </row>
    <row r="6" ht="40" customHeight="1">
      <c r="A6" s="4" t="n">
        <v>4</v>
      </c>
      <c r="B6" s="30" t="inlineStr">
        <is>
          <t>护理员工时假设</t>
        </is>
      </c>
      <c r="C6" s="31" t="inlineStr">
        <is>
          <t>11 人可能是三班倒总数，白班 8h 仅需 10.6 人</t>
        </is>
      </c>
      <c r="D6" s="27" t="inlineStr">
        <is>
          <t>确认是否 24h 三班配置</t>
        </is>
      </c>
      <c r="E6" s="10" t="inlineStr">
        <is>
          <t>🟢 参考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2" customWidth="1" min="4" max="4"/>
    <col width="22" customWidth="1" min="5" max="5"/>
  </cols>
  <sheetData>
    <row r="1" ht="36" customHeight="1">
      <c r="A1" s="1" t="inlineStr">
        <is>
          <t>月度核算日历（每月固定执行）</t>
        </is>
      </c>
    </row>
    <row r="2">
      <c r="A2" s="11" t="inlineStr">
        <is>
          <t>日期</t>
        </is>
      </c>
      <c r="B2" s="11" t="inlineStr">
        <is>
          <t>动作</t>
        </is>
      </c>
      <c r="C2" s="11" t="inlineStr">
        <is>
          <t>负责人</t>
        </is>
      </c>
      <c r="D2" s="11" t="inlineStr">
        <is>
          <t>用时</t>
        </is>
      </c>
      <c r="E2" s="11" t="inlineStr">
        <is>
          <t>产出</t>
        </is>
      </c>
    </row>
    <row r="3">
      <c r="A3" s="4" t="inlineStr">
        <is>
          <t>每月 1 日</t>
        </is>
      </c>
      <c r="B3" s="8" t="inlineStr">
        <is>
          <t>录入上月数据到模板</t>
        </is>
      </c>
      <c r="C3" s="16" t="inlineStr">
        <is>
          <t>院长+财务</t>
        </is>
      </c>
      <c r="D3" s="16" t="inlineStr">
        <is>
          <t>1h</t>
        </is>
      </c>
      <c r="E3" s="8" t="inlineStr">
        <is>
          <t>数据录入模板填好</t>
        </is>
      </c>
    </row>
    <row r="4">
      <c r="A4" s="4" t="inlineStr">
        <is>
          <t>每月 2 日</t>
        </is>
      </c>
      <c r="B4" s="8" t="inlineStr">
        <is>
          <t>核算上月单床成本</t>
        </is>
      </c>
      <c r="C4" s="16" t="inlineStr">
        <is>
          <t>院长</t>
        </is>
      </c>
      <c r="D4" s="16" t="inlineStr">
        <is>
          <t>30min</t>
        </is>
      </c>
      <c r="E4" s="8" t="inlineStr">
        <is>
          <t>单床成本数</t>
        </is>
      </c>
    </row>
    <row r="5">
      <c r="A5" s="4" t="inlineStr">
        <is>
          <t>每月 3 日</t>
        </is>
      </c>
      <c r="B5" s="8" t="inlineStr">
        <is>
          <t>核算上月利润</t>
        </is>
      </c>
      <c r="C5" s="16" t="inlineStr">
        <is>
          <t>院长</t>
        </is>
      </c>
      <c r="D5" s="16" t="inlineStr">
        <is>
          <t>30min</t>
        </is>
      </c>
      <c r="E5" s="8" t="inlineStr">
        <is>
          <t>月利润数</t>
        </is>
      </c>
    </row>
    <row r="6">
      <c r="A6" s="4" t="inlineStr">
        <is>
          <t>每月 4 日</t>
        </is>
      </c>
      <c r="B6" s="8" t="inlineStr">
        <is>
          <t>跟护理主任讨论异常项</t>
        </is>
      </c>
      <c r="C6" s="16" t="inlineStr">
        <is>
          <t>院长+护理主任</t>
        </is>
      </c>
      <c r="D6" s="16" t="inlineStr">
        <is>
          <t>1h</t>
        </is>
      </c>
      <c r="E6" s="8" t="inlineStr">
        <is>
          <t>异常清单</t>
        </is>
      </c>
    </row>
    <row r="7">
      <c r="A7" s="4" t="inlineStr">
        <is>
          <t>每月 5 日</t>
        </is>
      </c>
      <c r="B7" s="8" t="inlineStr">
        <is>
          <t>更新定价（如需）</t>
        </is>
      </c>
      <c r="C7" s="16" t="inlineStr">
        <is>
          <t>院长</t>
        </is>
      </c>
      <c r="D7" s="16" t="inlineStr">
        <is>
          <t>30min</t>
        </is>
      </c>
      <c r="E7" s="8" t="inlineStr">
        <is>
          <t>新定价</t>
        </is>
      </c>
    </row>
    <row r="8">
      <c r="A8" s="4" t="inlineStr">
        <is>
          <t>每月 10 日</t>
        </is>
      </c>
      <c r="B8" s="8" t="inlineStr">
        <is>
          <t>团队会议公布上月数据</t>
        </is>
      </c>
      <c r="C8" s="16" t="inlineStr">
        <is>
          <t>院长</t>
        </is>
      </c>
      <c r="D8" s="16" t="inlineStr">
        <is>
          <t>30min</t>
        </is>
      </c>
      <c r="E8" s="8" t="inlineStr">
        <is>
          <t>团队知情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2026-09-15T03:32:26Z</dcterms:created>
  <dcterms:modified xmlns:dcterms="http://purl.org/dc/terms/" xmlns:xsi="http://www.w3.org/2001/XMLSchema-instance" xsi:type="dcterms:W3CDTF">2026-09-15T03:32:26Z</dcterms:modified>
</cp:coreProperties>
</file>