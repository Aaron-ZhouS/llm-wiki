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护理员月度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b val="1"/>
      <color rgb="0016A085"/>
      <sz val="10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b val="1"/>
      <color rgb="00C0392B"/>
      <sz val="12"/>
    </font>
    <font>
      <name val="微软雅黑"/>
      <b val="1"/>
      <color rgb="00FFFFFF"/>
      <sz val="14"/>
    </font>
    <font>
      <name val="微软雅黑"/>
      <b val="1"/>
      <color rgb="00C0392B"/>
      <sz val="18"/>
    </font>
    <font>
      <name val="微软雅黑"/>
      <i val="1"/>
      <color rgb="00666666"/>
      <sz val="9"/>
    </font>
    <font>
      <name val="微软雅黑"/>
      <b val="1"/>
      <color rgb="00C0392B"/>
      <sz val="14"/>
    </font>
    <font>
      <name val="微软雅黑"/>
      <b val="1"/>
      <color rgb="0016A085"/>
      <sz val="18"/>
    </font>
  </fonts>
  <fills count="5">
    <fill>
      <patternFill/>
    </fill>
    <fill>
      <patternFill patternType="gray125"/>
    </fill>
    <fill>
      <patternFill patternType="solid">
        <fgColor rgb="0016A085"/>
      </patternFill>
    </fill>
    <fill>
      <patternFill patternType="solid">
        <fgColor rgb="00ECF6F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 ht="36" customHeight="1">
      <c r="A1" s="1" t="inlineStr">
        <is>
          <t>📊 护理员月度评分表（5 维量化）</t>
        </is>
      </c>
    </row>
    <row r="3" ht="22" customHeight="1">
      <c r="A3" s="2" t="inlineStr">
        <is>
          <t>员工姓名：________</t>
        </is>
      </c>
      <c r="B3" s="3" t="n"/>
      <c r="C3" s="3" t="n"/>
      <c r="D3" s="3" t="n"/>
      <c r="E3" s="4" t="inlineStr">
        <is>
          <t>所属岗位：☐白班 ☐24h班</t>
        </is>
      </c>
      <c r="F3" s="3" t="n"/>
      <c r="G3" s="3" t="n"/>
      <c r="H3" s="3" t="n"/>
      <c r="I3" s="3" t="n"/>
      <c r="J3" s="3" t="n"/>
      <c r="K3" s="3" t="n"/>
      <c r="L3" s="3" t="n"/>
      <c r="M3" s="3" t="n"/>
    </row>
    <row r="4" ht="22" customHeight="1">
      <c r="A4" s="2" t="inlineStr">
        <is>
          <t>评分月份：____年____月</t>
        </is>
      </c>
      <c r="B4" s="3" t="n"/>
      <c r="C4" s="3" t="n"/>
      <c r="D4" s="3" t="n"/>
      <c r="E4" s="4" t="inlineStr">
        <is>
          <t>员工工龄：____年</t>
        </is>
      </c>
      <c r="F4" s="3" t="n"/>
      <c r="G4" s="3" t="n"/>
      <c r="H4" s="3" t="n"/>
      <c r="I4" s="3" t="n"/>
      <c r="J4" s="3" t="n"/>
      <c r="K4" s="3" t="n"/>
      <c r="L4" s="3" t="n"/>
      <c r="M4" s="3" t="n"/>
    </row>
    <row r="5" ht="22" customHeight="1">
      <c r="A5" s="2" t="inlineStr">
        <is>
          <t>评分人（主管）：________</t>
        </is>
      </c>
      <c r="B5" s="3" t="n"/>
      <c r="C5" s="3" t="n"/>
      <c r="D5" s="3" t="n"/>
      <c r="E5" s="4" t="inlineStr">
        <is>
          <t>院长审核：________</t>
        </is>
      </c>
      <c r="F5" s="3" t="n"/>
      <c r="G5" s="3" t="n"/>
      <c r="H5" s="3" t="n"/>
      <c r="I5" s="3" t="n"/>
      <c r="J5" s="3" t="n"/>
      <c r="K5" s="3" t="n"/>
      <c r="L5" s="3" t="n"/>
      <c r="M5" s="3" t="n"/>
    </row>
    <row r="7" ht="24" customHeight="1">
      <c r="A7" s="5" t="inlineStr">
        <is>
          <t>5 维月度评分（总分 100，公式自动算）</t>
        </is>
      </c>
    </row>
    <row r="8" ht="28" customHeight="1">
      <c r="A8" s="6" t="inlineStr">
        <is>
          <t>#</t>
        </is>
      </c>
      <c r="B8" s="6" t="inlineStr">
        <is>
          <t>维度</t>
        </is>
      </c>
      <c r="C8" s="6" t="inlineStr">
        <is>
          <t>权重</t>
        </is>
      </c>
      <c r="D8" s="6" t="inlineStr">
        <is>
          <t>评分项</t>
        </is>
      </c>
      <c r="E8" s="6" t="inlineStr">
        <is>
          <t>评分依据（事实记录）</t>
        </is>
      </c>
      <c r="F8" s="6" t="inlineStr">
        <is>
          <t>满分</t>
        </is>
      </c>
      <c r="G8" s="6" t="inlineStr">
        <is>
          <t>自评</t>
        </is>
      </c>
      <c r="H8" s="6" t="inlineStr">
        <is>
          <t>同事</t>
        </is>
      </c>
      <c r="I8" s="6" t="inlineStr">
        <is>
          <t>主管</t>
        </is>
      </c>
      <c r="J8" s="6" t="inlineStr">
        <is>
          <t>培训师</t>
        </is>
      </c>
      <c r="K8" s="6" t="inlineStr">
        <is>
          <t>家属/老人</t>
        </is>
      </c>
      <c r="L8" s="6" t="inlineStr">
        <is>
          <t>加权得分</t>
        </is>
      </c>
      <c r="M8" s="6" t="inlineStr">
        <is>
          <t>评分人签字</t>
        </is>
      </c>
    </row>
    <row r="9" ht="32" customHeight="1">
      <c r="A9" s="7" t="n">
        <v>1</v>
      </c>
      <c r="B9" s="7" t="inlineStr">
        <is>
          <t>护理质量</t>
        </is>
      </c>
      <c r="C9" s="7" t="inlineStr">
        <is>
          <t>30%</t>
        </is>
      </c>
      <c r="D9" s="8" t="inlineStr">
        <is>
          <t>老人满意度</t>
        </is>
      </c>
      <c r="E9" s="8" t="inlineStr">
        <is>
          <t>满意度问卷 ≥ 4/5 + 零投诉天数</t>
        </is>
      </c>
      <c r="F9" s="7" t="n">
        <v>30</v>
      </c>
      <c r="G9" s="7" t="inlineStr"/>
      <c r="H9" s="7" t="inlineStr"/>
      <c r="I9" s="7" t="inlineStr"/>
      <c r="J9" s="7" t="inlineStr"/>
      <c r="K9" s="7" t="inlineStr"/>
      <c r="L9" s="7">
        <f>IF(COUNT(G9:K9)=0,"—",AVERAGE(G9:K9)*F9/100)</f>
        <v/>
      </c>
      <c r="M9" s="7" t="inlineStr"/>
    </row>
    <row r="10" ht="32" customHeight="1">
      <c r="A10" s="7" t="n">
        <v>2</v>
      </c>
      <c r="B10" s="7" t="inlineStr">
        <is>
          <t>团队协作</t>
        </is>
      </c>
      <c r="C10" s="7" t="inlineStr">
        <is>
          <t>25%</t>
        </is>
      </c>
      <c r="D10" s="8" t="inlineStr">
        <is>
          <t>三色响应执行</t>
        </is>
      </c>
      <c r="E10" s="8" t="inlineStr">
        <is>
          <t>红色响应 0 拖延 + 黄色 5min 内到位 + 互助补位记录</t>
        </is>
      </c>
      <c r="F10" s="7" t="n">
        <v>25</v>
      </c>
      <c r="G10" s="7" t="inlineStr"/>
      <c r="H10" s="7" t="inlineStr"/>
      <c r="I10" s="7" t="inlineStr"/>
      <c r="J10" s="7" t="inlineStr"/>
      <c r="K10" s="7" t="inlineStr"/>
      <c r="L10" s="7">
        <f>IF(COUNT(G10:K10)=0,"—",AVERAGE(G10:K10)*F10/100)</f>
        <v/>
      </c>
      <c r="M10" s="7" t="inlineStr"/>
    </row>
    <row r="11" ht="32" customHeight="1">
      <c r="A11" s="7" t="n">
        <v>3</v>
      </c>
      <c r="B11" s="7" t="inlineStr">
        <is>
          <t>出勤纪律</t>
        </is>
      </c>
      <c r="C11" s="7" t="inlineStr">
        <is>
          <t>15%</t>
        </is>
      </c>
      <c r="D11" s="8" t="inlineStr">
        <is>
          <t>全勤 / 迟到 / 请假</t>
        </is>
      </c>
      <c r="E11" s="8" t="inlineStr">
        <is>
          <t>全勤 15 / 迟到每次 -2 / 请假每次 -3</t>
        </is>
      </c>
      <c r="F11" s="7" t="n">
        <v>15</v>
      </c>
      <c r="G11" s="7" t="inlineStr"/>
      <c r="H11" s="7" t="inlineStr"/>
      <c r="I11" s="7" t="inlineStr"/>
      <c r="J11" s="7" t="inlineStr"/>
      <c r="K11" s="7" t="inlineStr"/>
      <c r="L11" s="7">
        <f>IF(COUNT(G11:K11)=0,"—",AVERAGE(G11:K11)*F11/100)</f>
        <v/>
      </c>
      <c r="M11" s="7" t="inlineStr"/>
    </row>
    <row r="12" ht="32" customHeight="1">
      <c r="A12" s="7" t="n">
        <v>4</v>
      </c>
      <c r="B12" s="7" t="inlineStr">
        <is>
          <t>学习成长</t>
        </is>
      </c>
      <c r="C12" s="7" t="inlineStr">
        <is>
          <t>15%</t>
        </is>
      </c>
      <c r="D12" s="8" t="inlineStr">
        <is>
          <t>培训完成率 + 阶梯考核</t>
        </is>
      </c>
      <c r="E12" s="8" t="inlineStr">
        <is>
          <t>完成全部培训 + 阶梯考核 ≥ 95 分</t>
        </is>
      </c>
      <c r="F12" s="7" t="n">
        <v>15</v>
      </c>
      <c r="G12" s="7" t="inlineStr"/>
      <c r="H12" s="7" t="inlineStr"/>
      <c r="I12" s="7" t="inlineStr"/>
      <c r="J12" s="7" t="inlineStr"/>
      <c r="K12" s="7" t="inlineStr"/>
      <c r="L12" s="7">
        <f>IF(COUNT(G12:K12)=0,"—",AVERAGE(G12:K12)*F12/100)</f>
        <v/>
      </c>
      <c r="M12" s="7" t="inlineStr"/>
    </row>
    <row r="13" ht="32" customHeight="1">
      <c r="A13" s="7" t="n">
        <v>5</v>
      </c>
      <c r="B13" s="7" t="inlineStr">
        <is>
          <t>老人安全</t>
        </is>
      </c>
      <c r="C13" s="7" t="inlineStr">
        <is>
          <t>15%</t>
        </is>
      </c>
      <c r="D13" s="8" t="inlineStr">
        <is>
          <t>0 事故 + 应急处理</t>
        </is>
      </c>
      <c r="E13" s="8" t="inlineStr">
        <is>
          <t>0 错喂 0 摔伤 + 应急响应 ≤ 30s</t>
        </is>
      </c>
      <c r="F13" s="7" t="n">
        <v>15</v>
      </c>
      <c r="G13" s="7" t="inlineStr"/>
      <c r="H13" s="7" t="inlineStr"/>
      <c r="I13" s="7" t="inlineStr"/>
      <c r="J13" s="7" t="inlineStr"/>
      <c r="K13" s="7" t="inlineStr"/>
      <c r="L13" s="7">
        <f>IF(COUNT(G13:K13)=0,"—",AVERAGE(G13:K13)*F13/100)</f>
        <v/>
      </c>
      <c r="M13" s="7" t="inlineStr"/>
    </row>
    <row r="14" ht="32" customHeight="1">
      <c r="A14" s="9" t="inlineStr">
        <is>
          <t>总分合计（自动计算）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1">
        <f>SUM(L9:L13)</f>
        <v/>
      </c>
      <c r="M14" s="12" t="inlineStr">
        <is>
          <t>（满分 100）</t>
        </is>
      </c>
    </row>
    <row r="16" ht="32" customHeight="1">
      <c r="A16" s="9" t="inlineStr">
        <is>
          <t>等级判定 + 奖金自动计算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3">
        <f>IF(L14&gt;=95,"⭐⭐⭐⭐⭐ A+",IF(L14&gt;=85,"⭐⭐⭐⭐ A",IF(L14&gt;=75,"⭐⭐⭐ B",IF(L14&gt;=60,"⭐⭐ C","⭐ D"))))</f>
        <v/>
      </c>
      <c r="M16" s="14">
        <f>IF(L14&gt;=95,500,IF(L14&gt;=85,300,IF(L14&gt;=75,0,IF(L14&gt;=60,-200,-500))))</f>
        <v/>
      </c>
    </row>
    <row r="17" ht="22" customHeight="1">
      <c r="A17" s="15" t="inlineStr">
        <is>
          <t>（等级说明：A+=月度奖金 500 元 / A=300 元 / B=0 / C=-200 / D=-500）</t>
        </is>
      </c>
    </row>
    <row r="19" ht="24" customHeight="1">
      <c r="A19" s="5" t="inlineStr">
        <is>
          <t>改进建议 / 员工签字</t>
        </is>
      </c>
    </row>
    <row r="20" ht="22" customHeight="1">
      <c r="A20" s="16" t="inlineStr">
        <is>
          <t>（评分后填写：低分项改进方向 + 员工申诉通道）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/>
    <row r="22"/>
    <row r="24" ht="26" customHeight="1">
      <c r="A24" s="17" t="inlineStr">
        <is>
          <t>员工签字：__________</t>
        </is>
      </c>
      <c r="B24" s="10" t="n"/>
      <c r="C24" s="10" t="n"/>
      <c r="D24" s="10" t="n"/>
      <c r="E24" s="17" t="inlineStr">
        <is>
          <t>评分主管签字：__________</t>
        </is>
      </c>
      <c r="F24" s="10" t="n"/>
      <c r="G24" s="10" t="n"/>
      <c r="H24" s="10" t="n"/>
      <c r="I24" s="17" t="inlineStr">
        <is>
          <t>院长签字：__________</t>
        </is>
      </c>
      <c r="J24" s="10" t="n"/>
      <c r="K24" s="10" t="n"/>
      <c r="L24" s="10" t="n"/>
      <c r="M24" s="10" t="n"/>
    </row>
  </sheetData>
  <mergeCells count="16">
    <mergeCell ref="A20:M22"/>
    <mergeCell ref="A5:D5"/>
    <mergeCell ref="A19:M19"/>
    <mergeCell ref="A1:M1"/>
    <mergeCell ref="A7:M7"/>
    <mergeCell ref="A4:D4"/>
    <mergeCell ref="E5:M5"/>
    <mergeCell ref="A3:D3"/>
    <mergeCell ref="A17:M17"/>
    <mergeCell ref="I24:M24"/>
    <mergeCell ref="A16:K16"/>
    <mergeCell ref="A24:D24"/>
    <mergeCell ref="E3:M3"/>
    <mergeCell ref="A14:K14"/>
    <mergeCell ref="E24:H24"/>
    <mergeCell ref="E4:M4"/>
  </mergeCells>
  <dataValidations count="5">
    <dataValidation sqref="G9:K9" showDropDown="0" showInputMessage="0" showErrorMessage="0" allowBlank="1" type="list">
      <formula1>"0,1,2,3,4,5,10,15,20,25,30"</formula1>
    </dataValidation>
    <dataValidation sqref="G10:K10" showDropDown="0" showInputMessage="0" showErrorMessage="0" allowBlank="1" type="list">
      <formula1>"0,1,2,3,4,5,10,15,20,25,30"</formula1>
    </dataValidation>
    <dataValidation sqref="G11:K11" showDropDown="0" showInputMessage="0" showErrorMessage="0" allowBlank="1" type="list">
      <formula1>"0,1,2,3,4,5,10,15,20,25,30"</formula1>
    </dataValidation>
    <dataValidation sqref="G12:K12" showDropDown="0" showInputMessage="0" showErrorMessage="0" allowBlank="1" type="list">
      <formula1>"0,1,2,3,4,5,10,15,20,25,30"</formula1>
    </dataValidation>
    <dataValidation sqref="G13:K13" showDropDown="0" showInputMessage="0" showErrorMessage="0" allowBlank="1" type="list">
      <formula1>"0,1,2,3,4,5,10,15,20,25,30"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2026-08-24T15:24:50Z</dcterms:created>
  <dcterms:modified xmlns:dcterms="http://purl.org/dc/terms/" xmlns:xsi="http://www.w3.org/2001/XMLSchema-instance" xsi:type="dcterms:W3CDTF">2026-08-24T15:24:50Z</dcterms:modified>
</cp:coreProperties>
</file>