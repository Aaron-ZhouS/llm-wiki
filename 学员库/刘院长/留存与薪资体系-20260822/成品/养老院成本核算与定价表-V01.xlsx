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核算与定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b val="1"/>
      <color rgb="00C0392B"/>
      <sz val="14"/>
    </font>
    <font>
      <name val="微软雅黑"/>
      <b val="1"/>
      <color rgb="00C0392B"/>
      <sz val="12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C0392B"/>
      <sz val="16"/>
    </font>
    <font>
      <name val="微软雅黑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💰 养老院成本核算与定价表（5 模块）</t>
        </is>
      </c>
      <c r="M1" s="2" t="inlineStr">
        <is>
          <t>V01 · 2026-08-22</t>
        </is>
      </c>
    </row>
    <row r="3" ht="22" customHeight="1">
      <c r="A3" s="3" t="inlineStr">
        <is>
          <t>核算月份：____年____月</t>
        </is>
      </c>
      <c r="B3" s="4" t="n"/>
      <c r="C3" s="4" t="n"/>
      <c r="D3" s="4" t="n"/>
      <c r="E3" s="5" t="inlineStr">
        <is>
          <t>总床位数：____张</t>
        </is>
      </c>
      <c r="F3" s="4" t="n"/>
      <c r="G3" s="4" t="n"/>
      <c r="H3" s="4" t="n"/>
      <c r="I3" s="4" t="n"/>
      <c r="J3" s="4" t="n"/>
      <c r="K3" s="4" t="n"/>
      <c r="L3" s="4" t="n"/>
    </row>
    <row r="4" ht="22" customHeight="1">
      <c r="A4" s="3" t="inlineStr">
        <is>
          <t>入住老人数：____人</t>
        </is>
      </c>
      <c r="B4" s="4" t="n"/>
      <c r="C4" s="4" t="n"/>
      <c r="D4" s="4" t="n"/>
      <c r="E4" s="5" t="inlineStr">
        <is>
          <t>入住率：____%</t>
        </is>
      </c>
      <c r="F4" s="4" t="n"/>
      <c r="G4" s="4" t="n"/>
      <c r="H4" s="4" t="n"/>
      <c r="I4" s="4" t="n"/>
      <c r="J4" s="4" t="n"/>
      <c r="K4" s="4" t="n"/>
      <c r="L4" s="4" t="n"/>
    </row>
    <row r="5" ht="22" customHeight="1">
      <c r="A5" s="3" t="inlineStr">
        <is>
          <t>院长签字：________</t>
        </is>
      </c>
      <c r="B5" s="4" t="n"/>
      <c r="C5" s="4" t="n"/>
      <c r="D5" s="4" t="n"/>
      <c r="E5" s="5" t="inlineStr">
        <is>
          <t>核算人签字：________</t>
        </is>
      </c>
      <c r="F5" s="4" t="n"/>
      <c r="G5" s="4" t="n"/>
      <c r="H5" s="4" t="n"/>
      <c r="I5" s="4" t="n"/>
      <c r="J5" s="4" t="n"/>
      <c r="K5" s="4" t="n"/>
      <c r="L5" s="4" t="n"/>
    </row>
    <row r="7" ht="24" customHeight="1">
      <c r="A7" s="6" t="inlineStr">
        <is>
          <t>模块 1 · 月度人力成本明细</t>
        </is>
      </c>
    </row>
    <row r="8" ht="22" customHeight="1">
      <c r="A8" s="7" t="inlineStr">
        <is>
          <t>#</t>
        </is>
      </c>
      <c r="B8" s="7" t="inlineStr">
        <is>
          <t>岗位</t>
        </is>
      </c>
      <c r="C8" s="7" t="inlineStr">
        <is>
          <t>人数</t>
        </is>
      </c>
      <c r="D8" s="7" t="inlineStr">
        <is>
          <t>基本</t>
        </is>
      </c>
      <c r="E8" s="7" t="inlineStr">
        <is>
          <t>岗位</t>
        </is>
      </c>
      <c r="F8" s="7" t="inlineStr">
        <is>
          <t>绩效</t>
        </is>
      </c>
      <c r="G8" s="7" t="inlineStr">
        <is>
          <t>工龄</t>
        </is>
      </c>
      <c r="H8" s="7" t="inlineStr">
        <is>
          <t>福利</t>
        </is>
      </c>
      <c r="I8" s="7" t="inlineStr">
        <is>
          <t>五险一金</t>
        </is>
      </c>
      <c r="J8" s="7" t="inlineStr">
        <is>
          <t>加班</t>
        </is>
      </c>
      <c r="K8" s="7" t="inlineStr">
        <is>
          <t>小计</t>
        </is>
      </c>
      <c r="L8" s="7" t="inlineStr">
        <is>
          <t>占比</t>
        </is>
      </c>
    </row>
    <row r="9" ht="24" customHeight="1">
      <c r="A9" s="8" t="n">
        <v>1</v>
      </c>
      <c r="B9" s="9" t="inlineStr">
        <is>
          <t>护理员（白班）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>
        <f>SUM(D9:J9)</f>
        <v/>
      </c>
      <c r="L9" s="8" t="inlineStr"/>
    </row>
    <row r="10" ht="24" customHeight="1">
      <c r="A10" s="8" t="n">
        <v>2</v>
      </c>
      <c r="B10" s="9" t="inlineStr">
        <is>
          <t>护理员（24h 班）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>
        <f>SUM(D10:J10)</f>
        <v/>
      </c>
      <c r="L10" s="8" t="inlineStr"/>
    </row>
    <row r="11" ht="24" customHeight="1">
      <c r="A11" s="8" t="n">
        <v>3</v>
      </c>
      <c r="B11" s="9" t="inlineStr">
        <is>
          <t>护理主任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>
        <f>SUM(D11:J11)</f>
        <v/>
      </c>
      <c r="L11" s="8" t="inlineStr"/>
    </row>
    <row r="12" ht="24" customHeight="1">
      <c r="A12" s="8" t="n">
        <v>4</v>
      </c>
      <c r="B12" s="9" t="inlineStr">
        <is>
          <t>院长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>
        <f>SUM(D12:J12)</f>
        <v/>
      </c>
      <c r="L12" s="8" t="inlineStr"/>
    </row>
    <row r="13" ht="24" customHeight="1">
      <c r="A13" s="8" t="n">
        <v>5</v>
      </c>
      <c r="B13" s="9" t="inlineStr">
        <is>
          <t>行政 / 后勤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>
        <f>SUM(D13:J13)</f>
        <v/>
      </c>
      <c r="L13" s="8" t="inlineStr"/>
    </row>
    <row r="14" ht="28" customHeight="1">
      <c r="A14" s="10" t="inlineStr">
        <is>
          <t>合计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2">
        <f>SUM(K9:K13)</f>
        <v/>
      </c>
      <c r="L14" s="13">
        <f>IF(K14=0,"—",K14/B7)</f>
        <v/>
      </c>
    </row>
    <row r="16" ht="24" customHeight="1">
      <c r="A16" s="7" t="inlineStr">
        <is>
          <t>月度总收入（万元）</t>
        </is>
      </c>
      <c r="B16" s="11" t="n"/>
      <c r="C16" s="11" t="n"/>
      <c r="D16" s="11" t="n"/>
      <c r="E16" s="11" t="n"/>
      <c r="F16" s="14" t="inlineStr"/>
      <c r="G16" s="11" t="n"/>
      <c r="H16" s="11" t="n"/>
      <c r="I16" s="11" t="n"/>
      <c r="J16" s="11" t="n"/>
      <c r="K16" s="11" t="n"/>
      <c r="L16" s="11" t="n"/>
    </row>
    <row r="18" ht="24" customHeight="1">
      <c r="A18" s="6" t="inlineStr">
        <is>
          <t>模块 2 · 单床位月度成本拆解</t>
        </is>
      </c>
    </row>
    <row r="19" ht="22" customHeight="1">
      <c r="A19" s="7" t="inlineStr">
        <is>
          <t>成本项</t>
        </is>
      </c>
      <c r="B19" s="7" t="inlineStr">
        <is>
          <t>金额（元/月）</t>
        </is>
      </c>
      <c r="C19" s="7" t="inlineStr">
        <is>
          <t>备注</t>
        </is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4" customHeight="1">
      <c r="A20" s="9" t="inlineStr">
        <is>
          <t>人力成本</t>
        </is>
      </c>
      <c r="B20" s="8">
        <f>K14</f>
        <v/>
      </c>
      <c r="C20" s="9" t="inlineStr">
        <is>
          <t>总人力成本（取模块 1 合计）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 ht="24" customHeight="1">
      <c r="A21" s="9" t="inlineStr">
        <is>
          <t>伙食费</t>
        </is>
      </c>
      <c r="B21" s="8" t="inlineStr"/>
      <c r="C21" s="9" t="inlineStr">
        <is>
          <t>食材 + 人工 + 水电气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24" customHeight="1">
      <c r="A22" s="9" t="inlineStr">
        <is>
          <t>房租</t>
        </is>
      </c>
      <c r="B22" s="8" t="inlineStr"/>
      <c r="C22" s="9" t="inlineStr">
        <is>
          <t>月租金 ÷ 总床位数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 ht="24" customHeight="1">
      <c r="A23" s="9" t="inlineStr">
        <is>
          <t>水电费</t>
        </is>
      </c>
      <c r="B23" s="8" t="inlineStr"/>
      <c r="C23" s="9" t="inlineStr">
        <is>
          <t>月水电费账单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24" customHeight="1">
      <c r="A24" s="9" t="inlineStr">
        <is>
          <t>设备折旧</t>
        </is>
      </c>
      <c r="B24" s="8" t="inlineStr"/>
      <c r="C24" s="9" t="inlineStr">
        <is>
          <t>（原值 - 残值）÷ 使用年限 ÷ 12</t>
        </is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 ht="24" customHeight="1">
      <c r="A25" s="9" t="inlineStr">
        <is>
          <t>物资消耗</t>
        </is>
      </c>
      <c r="B25" s="8" t="inlineStr"/>
      <c r="C25" s="9" t="inlineStr">
        <is>
          <t>耗材 + 清洁 + 办公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4" customHeight="1">
      <c r="A26" s="9" t="inlineStr">
        <is>
          <t>管理费</t>
        </is>
      </c>
      <c r="B26" s="8" t="inlineStr"/>
      <c r="C26" s="9" t="inlineStr">
        <is>
          <t>院长薪资 + 行政开支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 ht="28" customHeight="1">
      <c r="A27" s="10" t="inlineStr">
        <is>
          <t>总成本</t>
        </is>
      </c>
      <c r="B27" s="12">
        <f>SUM(B20:B26)</f>
        <v/>
      </c>
      <c r="C27" s="17" t="inlineStr">
        <is>
          <t>（含人力 + 伙食 + 房租 + 水电 + 折旧 + 物资 + 管理）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9" ht="24" customHeight="1">
      <c r="A29" s="6" t="inlineStr">
        <is>
          <t>模块 3 · 单床位月度成本</t>
        </is>
      </c>
    </row>
    <row r="30" ht="28" customHeight="1">
      <c r="A30" s="7" t="inlineStr">
        <is>
          <t>单床位成本</t>
        </is>
      </c>
      <c r="B30" s="12">
        <f>B27</f>
        <v/>
      </c>
      <c r="C30" s="18" t="inlineStr">
        <is>
          <t>÷</t>
        </is>
      </c>
      <c r="D30" s="7" t="inlineStr">
        <is>
          <t>总床位</t>
        </is>
      </c>
      <c r="E30" s="19" t="inlineStr"/>
      <c r="F30" s="18" t="inlineStr">
        <is>
          <t>=</t>
        </is>
      </c>
      <c r="G30" s="10" t="inlineStr">
        <is>
          <t>单床位成本</t>
        </is>
      </c>
      <c r="H30" s="20">
        <f>B30/E30</f>
        <v/>
      </c>
      <c r="I30" s="21" t="n"/>
      <c r="J30" s="21" t="n"/>
      <c r="K30" s="21" t="n"/>
      <c r="L30" s="21" t="n"/>
    </row>
    <row r="32" ht="24" customHeight="1">
      <c r="A32" s="6" t="inlineStr">
        <is>
          <t>模块 4 · 三类老人最低定价测算</t>
        </is>
      </c>
    </row>
    <row r="33" ht="22" customHeight="1">
      <c r="A33" s="7" t="inlineStr">
        <is>
          <t>老人类型</t>
        </is>
      </c>
      <c r="B33" s="7" t="inlineStr">
        <is>
          <t>照护系数</t>
        </is>
      </c>
      <c r="C33" s="7" t="inlineStr">
        <is>
          <t>单床位成本</t>
        </is>
      </c>
      <c r="D33" s="7" t="inlineStr">
        <is>
          <t>目标利润率</t>
        </is>
      </c>
      <c r="E33" s="7" t="inlineStr">
        <is>
          <t>入住率系数</t>
        </is>
      </c>
      <c r="F33" s="7" t="inlineStr">
        <is>
          <t>最低定价</t>
        </is>
      </c>
      <c r="G33" s="7" t="inlineStr">
        <is>
          <t>建议定价</t>
        </is>
      </c>
      <c r="H33" s="7" t="inlineStr">
        <is>
          <t>说明</t>
        </is>
      </c>
      <c r="I33" s="22" t="n"/>
      <c r="J33" s="22" t="n"/>
      <c r="K33" s="22" t="n"/>
      <c r="L33" s="22" t="n"/>
    </row>
    <row r="34" ht="28" customHeight="1">
      <c r="A34" s="9" t="inlineStr">
        <is>
          <t>自理老人</t>
        </is>
      </c>
      <c r="B34" s="8" t="n">
        <v>1</v>
      </c>
      <c r="C34" s="8">
        <f>H30</f>
        <v/>
      </c>
      <c r="D34" s="8" t="n">
        <v>0.2</v>
      </c>
      <c r="E34" s="8" t="n">
        <v>0.9</v>
      </c>
      <c r="F34" s="8">
        <f>C34*B34*(1+D34)/E34</f>
        <v/>
      </c>
      <c r="G34" s="8" t="inlineStr">
        <is>
          <t>6000-7000</t>
        </is>
      </c>
      <c r="H34" s="9" t="inlineStr">
        <is>
          <t>拉新入住、引流床位</t>
        </is>
      </c>
      <c r="I34" s="16" t="n"/>
      <c r="J34" s="16" t="n"/>
      <c r="K34" s="16" t="n"/>
      <c r="L34" s="16" t="n"/>
    </row>
    <row r="35" ht="28" customHeight="1">
      <c r="A35" s="9" t="inlineStr">
        <is>
          <t>半自理老人</t>
        </is>
      </c>
      <c r="B35" s="8" t="n">
        <v>1.3</v>
      </c>
      <c r="C35" s="8">
        <f>H30</f>
        <v/>
      </c>
      <c r="D35" s="8" t="n">
        <v>0.2</v>
      </c>
      <c r="E35" s="8" t="n">
        <v>0.9</v>
      </c>
      <c r="F35" s="8">
        <f>C35*B35*(1+D35)/E35</f>
        <v/>
      </c>
      <c r="G35" s="8" t="inlineStr">
        <is>
          <t>8000-10000</t>
        </is>
      </c>
      <c r="H35" s="9" t="inlineStr">
        <is>
          <t>主力盈利床位</t>
        </is>
      </c>
      <c r="I35" s="16" t="n"/>
      <c r="J35" s="16" t="n"/>
      <c r="K35" s="16" t="n"/>
      <c r="L35" s="16" t="n"/>
    </row>
    <row r="36" ht="28" customHeight="1">
      <c r="A36" s="9" t="inlineStr">
        <is>
          <t>失能 / 失智老人</t>
        </is>
      </c>
      <c r="B36" s="8" t="n">
        <v>1.6</v>
      </c>
      <c r="C36" s="8">
        <f>H30</f>
        <v/>
      </c>
      <c r="D36" s="8" t="n">
        <v>0.2</v>
      </c>
      <c r="E36" s="8" t="n">
        <v>0.9</v>
      </c>
      <c r="F36" s="8">
        <f>C36*B36*(1+D36)/E36</f>
        <v/>
      </c>
      <c r="G36" s="8" t="inlineStr">
        <is>
          <t>10000-15000</t>
        </is>
      </c>
      <c r="H36" s="9" t="inlineStr">
        <is>
          <t>高利润床位</t>
        </is>
      </c>
      <c r="I36" s="16" t="n"/>
      <c r="J36" s="16" t="n"/>
      <c r="K36" s="16" t="n"/>
      <c r="L36" s="16" t="n"/>
    </row>
    <row r="38" ht="24" customHeight="1">
      <c r="A38" s="6" t="inlineStr">
        <is>
          <t>模块 5 · 引流床位 vs 盈利床位划分 + 红线</t>
        </is>
      </c>
    </row>
    <row r="39" ht="22" customHeight="1">
      <c r="A39" s="7" t="inlineStr">
        <is>
          <t>类型</t>
        </is>
      </c>
      <c r="B39" s="7" t="inlineStr">
        <is>
          <t>占比</t>
        </is>
      </c>
      <c r="C39" s="7" t="inlineStr">
        <is>
          <t>定价</t>
        </is>
      </c>
      <c r="D39" s="15" t="n"/>
      <c r="E39" s="15" t="n"/>
      <c r="F39" s="7" t="inlineStr">
        <is>
          <t>适用老人</t>
        </is>
      </c>
      <c r="G39" s="15" t="n"/>
      <c r="H39" s="15" t="n"/>
      <c r="I39" s="7" t="inlineStr">
        <is>
          <t>作用</t>
        </is>
      </c>
      <c r="J39" s="15" t="n"/>
      <c r="K39" s="15" t="n"/>
      <c r="L39" s="15" t="n"/>
    </row>
    <row r="40" ht="26" customHeight="1">
      <c r="A40" s="9" t="inlineStr">
        <is>
          <t>引流床位</t>
        </is>
      </c>
      <c r="B40" s="8" t="inlineStr">
        <is>
          <t>30%</t>
        </is>
      </c>
      <c r="C40" s="8" t="inlineStr">
        <is>
          <t>接近最低定价</t>
        </is>
      </c>
      <c r="D40" s="16" t="n"/>
      <c r="E40" s="16" t="n"/>
      <c r="F40" s="9" t="inlineStr">
        <is>
          <t>仅限自理老人</t>
        </is>
      </c>
      <c r="G40" s="16" t="n"/>
      <c r="H40" s="16" t="n"/>
      <c r="I40" s="9" t="inlineStr">
        <is>
          <t>拉新入住</t>
        </is>
      </c>
      <c r="J40" s="16" t="n"/>
      <c r="K40" s="16" t="n"/>
      <c r="L40" s="16" t="n"/>
    </row>
    <row r="41" ht="26" customHeight="1">
      <c r="A41" s="9" t="inlineStr">
        <is>
          <t>盈利床位</t>
        </is>
      </c>
      <c r="B41" s="8" t="inlineStr">
        <is>
          <t>70%</t>
        </is>
      </c>
      <c r="C41" s="8" t="inlineStr">
        <is>
          <t>中高定价</t>
        </is>
      </c>
      <c r="D41" s="16" t="n"/>
      <c r="E41" s="16" t="n"/>
      <c r="F41" s="9" t="inlineStr">
        <is>
          <t>半自理 / 失能 / 失智</t>
        </is>
      </c>
      <c r="G41" s="16" t="n"/>
      <c r="H41" s="16" t="n"/>
      <c r="I41" s="9" t="inlineStr">
        <is>
          <t>覆盖成本 + 利润</t>
        </is>
      </c>
      <c r="J41" s="16" t="n"/>
      <c r="K41" s="16" t="n"/>
      <c r="L41" s="16" t="n"/>
    </row>
    <row r="43" ht="26" customHeight="1">
      <c r="A43" s="23" t="inlineStr">
        <is>
          <t>❌ 红线：禁止低于最低定价 90% 收住 = 亏损；禁止 100% 收住低价自理老人 = 满床不盈利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</sheetData>
  <mergeCells count="38">
    <mergeCell ref="C27:L27"/>
    <mergeCell ref="A5:D5"/>
    <mergeCell ref="E3:L3"/>
    <mergeCell ref="A7:L7"/>
    <mergeCell ref="A14:J14"/>
    <mergeCell ref="C23:L23"/>
    <mergeCell ref="H35:L35"/>
    <mergeCell ref="I39:L39"/>
    <mergeCell ref="A4:D4"/>
    <mergeCell ref="C41:E41"/>
    <mergeCell ref="F41:H41"/>
    <mergeCell ref="C40:E40"/>
    <mergeCell ref="A18:L18"/>
    <mergeCell ref="E5:L5"/>
    <mergeCell ref="H34:L34"/>
    <mergeCell ref="C19:L19"/>
    <mergeCell ref="E4:L4"/>
    <mergeCell ref="I40:L40"/>
    <mergeCell ref="A16:E16"/>
    <mergeCell ref="C39:E39"/>
    <mergeCell ref="A32:L32"/>
    <mergeCell ref="H36:L36"/>
    <mergeCell ref="F16:L16"/>
    <mergeCell ref="C24:L24"/>
    <mergeCell ref="F39:H39"/>
    <mergeCell ref="A38:L38"/>
    <mergeCell ref="A29:L29"/>
    <mergeCell ref="A43:L43"/>
    <mergeCell ref="C26:L26"/>
    <mergeCell ref="C20:L20"/>
    <mergeCell ref="I41:L41"/>
    <mergeCell ref="C25:L25"/>
    <mergeCell ref="C22:L22"/>
    <mergeCell ref="A3:D3"/>
    <mergeCell ref="A1:L1"/>
    <mergeCell ref="C21:L21"/>
    <mergeCell ref="H33:L33"/>
    <mergeCell ref="F40:H40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2026-08-24T15:24:50Z</dcterms:created>
  <dcterms:modified xmlns:dcterms="http://purl.org/dc/terms/" xmlns:xsi="http://www.w3.org/2001/XMLSchema-instance" xsi:type="dcterms:W3CDTF">2026-08-24T15:24:50Z</dcterms:modified>
</cp:coreProperties>
</file>